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novag365-my.sharepoint.com/personal/tngvwplan1_transnovag_com_br/Documents/Área de Trabalho/JUNHO/4 SEMANA/"/>
    </mc:Choice>
  </mc:AlternateContent>
  <xr:revisionPtr revIDLastSave="318" documentId="8_{8B5D356B-01A8-46F7-9749-424D33D5737A}" xr6:coauthVersionLast="47" xr6:coauthVersionMax="47" xr10:uidLastSave="{29B6A4DB-6928-47DA-89A8-AE18C0DB9CFF}"/>
  <bookViews>
    <workbookView xWindow="-120" yWindow="-120" windowWidth="29040" windowHeight="15720" xr2:uid="{B04AD004-EB25-4C4A-90A0-CC1159A481B3}"/>
  </bookViews>
  <sheets>
    <sheet name="Planilha1" sheetId="1" r:id="rId1"/>
  </sheets>
  <definedNames>
    <definedName name="_xlnm._FilterDatabase" localSheetId="0" hidden="1">Planilha1!$A$1:$AN$78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<sst xmlns="http://schemas.openxmlformats.org/spreadsheetml/2006/main" count="768" uniqueCount="295">
  <si>
    <t>DATA</t>
  </si>
  <si>
    <t>PLANTA DESTINO</t>
  </si>
  <si>
    <t>ROTA</t>
  </si>
  <si>
    <t>VEÍCULO</t>
  </si>
  <si>
    <t>CODIGO VW</t>
  </si>
  <si>
    <t>COLETA FORNECEDOR</t>
  </si>
  <si>
    <t>Quant./ Pallet´s</t>
  </si>
  <si>
    <t>VIAGEM TIPO</t>
  </si>
  <si>
    <t>SOLICITAÇÃO Nº</t>
  </si>
  <si>
    <t>DATA /HORA</t>
  </si>
  <si>
    <t>PESO</t>
  </si>
  <si>
    <t>M³</t>
  </si>
  <si>
    <t>ESTUDO / ROTA</t>
  </si>
  <si>
    <t xml:space="preserve">REMESSA </t>
  </si>
  <si>
    <t>CVA Nº</t>
  </si>
  <si>
    <t>MOTORISTA</t>
  </si>
  <si>
    <t>CAVALO</t>
  </si>
  <si>
    <t>CARRETA</t>
  </si>
  <si>
    <t>CHEGADA FORNECEDOR</t>
  </si>
  <si>
    <t>SAIDA FORNECEDOR</t>
  </si>
  <si>
    <t>DESCRIÇÃO</t>
  </si>
  <si>
    <t>OBSERVAÇÕES</t>
  </si>
  <si>
    <t>RESPONSAVEL</t>
  </si>
  <si>
    <t>ATENDIMENTO FORNECEDOR</t>
  </si>
  <si>
    <t>TEMPO DE CARGA</t>
  </si>
  <si>
    <t>Nº CVA PRINCIPAL</t>
  </si>
  <si>
    <t>JANELA GATE</t>
  </si>
  <si>
    <t>CHEGADA EFETIVA</t>
  </si>
  <si>
    <t>ATENDIMENTO PLANTA</t>
  </si>
  <si>
    <t>ENTRADA</t>
  </si>
  <si>
    <t>SAIDA PLANTA</t>
  </si>
  <si>
    <t>TEMPO DE GATE</t>
  </si>
  <si>
    <t>TEMPO INTERNO</t>
  </si>
  <si>
    <t>NFS EMBALAGENS</t>
  </si>
  <si>
    <t>DESCRIÇÃO DAS EMBALAGENS</t>
  </si>
  <si>
    <t>CRAGEA</t>
  </si>
  <si>
    <t>LEVE</t>
  </si>
  <si>
    <t>S945</t>
  </si>
  <si>
    <t>Ficosa</t>
  </si>
  <si>
    <t xml:space="preserve">3 ESPECB4                                 </t>
  </si>
  <si>
    <t>DIRETA</t>
  </si>
  <si>
    <t>+1670863++</t>
  </si>
  <si>
    <t/>
  </si>
  <si>
    <t>12CRGC003</t>
  </si>
  <si>
    <t>20.1</t>
  </si>
  <si>
    <t>CARRETA RETA 2 EIXOS</t>
  </si>
  <si>
    <t>Chris</t>
  </si>
  <si>
    <t xml:space="preserve">32 ESPC025                                 </t>
  </si>
  <si>
    <t>RELEASE+1671403++</t>
  </si>
  <si>
    <t>Z555</t>
  </si>
  <si>
    <t>Maxion</t>
  </si>
  <si>
    <t xml:space="preserve">20 ESPC145  6 ESPC144                              </t>
  </si>
  <si>
    <t>+1671463++</t>
  </si>
  <si>
    <t>12CRGC004</t>
  </si>
  <si>
    <t>20.2</t>
  </si>
  <si>
    <t>T057</t>
  </si>
  <si>
    <t>Kautex</t>
  </si>
  <si>
    <t xml:space="preserve">27 ESPC148                                 </t>
  </si>
  <si>
    <t>+1670793++</t>
  </si>
  <si>
    <t>12CRGC010</t>
  </si>
  <si>
    <t>TOCO</t>
  </si>
  <si>
    <t>068E</t>
  </si>
  <si>
    <t>Vibracoustic</t>
  </si>
  <si>
    <t xml:space="preserve">13 A155763  9 A155755  2 ESPECB4                           </t>
  </si>
  <si>
    <t>+1671259++</t>
  </si>
  <si>
    <t>12CRGC209</t>
  </si>
  <si>
    <t>MTC</t>
  </si>
  <si>
    <t>FURGÃO</t>
  </si>
  <si>
    <t>21F1</t>
  </si>
  <si>
    <t>Sika</t>
  </si>
  <si>
    <t>1 PALLET</t>
  </si>
  <si>
    <t>+1671387++</t>
  </si>
  <si>
    <t>12MTCC009</t>
  </si>
  <si>
    <t>UTILITÁRIO</t>
  </si>
  <si>
    <t>Fanandri</t>
  </si>
  <si>
    <t>RELEASE+++</t>
  </si>
  <si>
    <t>ANCHIETA</t>
  </si>
  <si>
    <t>20.31</t>
  </si>
  <si>
    <t>Isringhausen</t>
  </si>
  <si>
    <t>3 EGLT1185</t>
  </si>
  <si>
    <t>CROSS DOCKING</t>
  </si>
  <si>
    <t>25/06/2026 17:00</t>
  </si>
  <si>
    <t>00P038</t>
  </si>
  <si>
    <t>20.22</t>
  </si>
  <si>
    <t>Bosch</t>
  </si>
  <si>
    <t>25/06/2026 09:00</t>
  </si>
  <si>
    <t>00P031</t>
  </si>
  <si>
    <t>09.1</t>
  </si>
  <si>
    <t>Aumovio</t>
  </si>
  <si>
    <t>25/06/2026 15:00</t>
  </si>
  <si>
    <t>00P013</t>
  </si>
  <si>
    <t>45.02</t>
  </si>
  <si>
    <t>0H84</t>
  </si>
  <si>
    <t>Guangan</t>
  </si>
  <si>
    <t>00P022</t>
  </si>
  <si>
    <t>11.5</t>
  </si>
  <si>
    <t>ITW</t>
  </si>
  <si>
    <t>25/06/2026 10:00</t>
  </si>
  <si>
    <t>00P019</t>
  </si>
  <si>
    <t>24.1</t>
  </si>
  <si>
    <t>Chris Cintos</t>
  </si>
  <si>
    <t>25/06/2026 08:00</t>
  </si>
  <si>
    <t>00P034</t>
  </si>
  <si>
    <t>Tecnoplast</t>
  </si>
  <si>
    <t>25/06/2026 14:00</t>
  </si>
  <si>
    <t>00P030</t>
  </si>
  <si>
    <t>43A4</t>
  </si>
  <si>
    <t>Autocom</t>
  </si>
  <si>
    <t>25/06/2026 13:30</t>
  </si>
  <si>
    <t>00P400</t>
  </si>
  <si>
    <t>46.3</t>
  </si>
  <si>
    <t>50I3</t>
  </si>
  <si>
    <t>Driv</t>
  </si>
  <si>
    <t>12 EGLT1185</t>
  </si>
  <si>
    <t>25/06/2026 12:00</t>
  </si>
  <si>
    <t>21.25</t>
  </si>
  <si>
    <t>527D</t>
  </si>
  <si>
    <t>Cont. Paraf</t>
  </si>
  <si>
    <t>25/06/2026 16:00</t>
  </si>
  <si>
    <t>00P033</t>
  </si>
  <si>
    <t>10.14</t>
  </si>
  <si>
    <t>57D4</t>
  </si>
  <si>
    <t>SMRC</t>
  </si>
  <si>
    <t>25/06/2026 13:00</t>
  </si>
  <si>
    <t>00P015</t>
  </si>
  <si>
    <t>08.7</t>
  </si>
  <si>
    <t>B843</t>
  </si>
  <si>
    <t>VMG</t>
  </si>
  <si>
    <t>25/06/2026 11:00</t>
  </si>
  <si>
    <t>00P009</t>
  </si>
  <si>
    <t>40.38</t>
  </si>
  <si>
    <t>C217</t>
  </si>
  <si>
    <t>Minebea</t>
  </si>
  <si>
    <t>00P041</t>
  </si>
  <si>
    <t>CGP6</t>
  </si>
  <si>
    <t>Galutti</t>
  </si>
  <si>
    <t>00P014</t>
  </si>
  <si>
    <t>29.3</t>
  </si>
  <si>
    <t>CRU7</t>
  </si>
  <si>
    <t>Jardim</t>
  </si>
  <si>
    <t>00P016</t>
  </si>
  <si>
    <t>20.14</t>
  </si>
  <si>
    <t>EDA8</t>
  </si>
  <si>
    <t>Itaesbra</t>
  </si>
  <si>
    <t>00P029</t>
  </si>
  <si>
    <t>40.23</t>
  </si>
  <si>
    <t>N796</t>
  </si>
  <si>
    <t>Toro</t>
  </si>
  <si>
    <t>9 EGLT1185</t>
  </si>
  <si>
    <t>00P006</t>
  </si>
  <si>
    <t>P862</t>
  </si>
  <si>
    <t>Voss</t>
  </si>
  <si>
    <t>00P011</t>
  </si>
  <si>
    <t>17.3</t>
  </si>
  <si>
    <t>Q226</t>
  </si>
  <si>
    <t>Paranoa</t>
  </si>
  <si>
    <t>25/06/2026 10:30</t>
  </si>
  <si>
    <t>00P037</t>
  </si>
  <si>
    <t>32.83</t>
  </si>
  <si>
    <t>00P008</t>
  </si>
  <si>
    <t>SÃO CARLOS</t>
  </si>
  <si>
    <t>1.1</t>
  </si>
  <si>
    <t>Uliana</t>
  </si>
  <si>
    <t>00P032</t>
  </si>
  <si>
    <t>7.1</t>
  </si>
  <si>
    <t>Niterra</t>
  </si>
  <si>
    <t>00P004</t>
  </si>
  <si>
    <t>4.5</t>
  </si>
  <si>
    <t>9.89</t>
  </si>
  <si>
    <t>8.4</t>
  </si>
  <si>
    <t>Zanettini</t>
  </si>
  <si>
    <t>B516</t>
  </si>
  <si>
    <t>Bontaz</t>
  </si>
  <si>
    <t>1.2</t>
  </si>
  <si>
    <t>3.3</t>
  </si>
  <si>
    <t>CRY1</t>
  </si>
  <si>
    <t>Mahle Metal</t>
  </si>
  <si>
    <t>00P017</t>
  </si>
  <si>
    <t>V802</t>
  </si>
  <si>
    <t>Mubea</t>
  </si>
  <si>
    <t>25/06/2026 15:30</t>
  </si>
  <si>
    <t>TAUBATÉ</t>
  </si>
  <si>
    <t>14.28</t>
  </si>
  <si>
    <t>1 EGLT1185</t>
  </si>
  <si>
    <t>27.3</t>
  </si>
  <si>
    <t>Delga</t>
  </si>
  <si>
    <t>2 EGLT1165  1 EGLT1185</t>
  </si>
  <si>
    <t>35.4</t>
  </si>
  <si>
    <t>19.1</t>
  </si>
  <si>
    <t>13.4</t>
  </si>
  <si>
    <t>Mauser</t>
  </si>
  <si>
    <t>00P018</t>
  </si>
  <si>
    <t>05.2</t>
  </si>
  <si>
    <t>34.03</t>
  </si>
  <si>
    <t>14.77</t>
  </si>
  <si>
    <t>54H1</t>
  </si>
  <si>
    <t>Magna</t>
  </si>
  <si>
    <t>00P002</t>
  </si>
  <si>
    <t>B108</t>
  </si>
  <si>
    <t>Autometal</t>
  </si>
  <si>
    <t>25/06/2026 19:00</t>
  </si>
  <si>
    <t>00P001</t>
  </si>
  <si>
    <t>25.8</t>
  </si>
  <si>
    <t>32.34</t>
  </si>
  <si>
    <t>07.5</t>
  </si>
  <si>
    <t>17.4</t>
  </si>
  <si>
    <t>EUA1</t>
  </si>
  <si>
    <t>Muriaço</t>
  </si>
  <si>
    <t>00P003</t>
  </si>
  <si>
    <t>13.50</t>
  </si>
  <si>
    <t>08.5</t>
  </si>
  <si>
    <t>12.21</t>
  </si>
  <si>
    <t>10 EPAM0014</t>
  </si>
  <si>
    <t>00P025</t>
  </si>
  <si>
    <t>CURITIBA</t>
  </si>
  <si>
    <t>8.1</t>
  </si>
  <si>
    <t>19.65</t>
  </si>
  <si>
    <t>8.5</t>
  </si>
  <si>
    <t>TRUCK</t>
  </si>
  <si>
    <t>CGE</t>
  </si>
  <si>
    <t>4 ERAD0262</t>
  </si>
  <si>
    <t>25/06/2026 20:00</t>
  </si>
  <si>
    <t>57P002</t>
  </si>
  <si>
    <t>3.8</t>
  </si>
  <si>
    <t>Ausus</t>
  </si>
  <si>
    <t>2 ECME0013</t>
  </si>
  <si>
    <t>25/06/2026 18:00</t>
  </si>
  <si>
    <t>00P027</t>
  </si>
  <si>
    <t>2.6</t>
  </si>
  <si>
    <t>1.7</t>
  </si>
  <si>
    <t>14.97</t>
  </si>
  <si>
    <t>10 EGLT1185</t>
  </si>
  <si>
    <t>Component</t>
  </si>
  <si>
    <t>2 ECXL1442  3 EGLT1185  9 ERAD1046</t>
  </si>
  <si>
    <t>25/06/2026 07:00</t>
  </si>
  <si>
    <t>33.2</t>
  </si>
  <si>
    <t>21.66</t>
  </si>
  <si>
    <t>3.1</t>
  </si>
  <si>
    <t>4.3</t>
  </si>
  <si>
    <t>7.79</t>
  </si>
  <si>
    <t>7.3</t>
  </si>
  <si>
    <t>9.3</t>
  </si>
  <si>
    <t>44.1</t>
  </si>
  <si>
    <t>10 EPAM0005</t>
  </si>
  <si>
    <t>Tower</t>
  </si>
  <si>
    <t>88A2</t>
  </si>
  <si>
    <t>Gestamp TBT</t>
  </si>
  <si>
    <t>P226</t>
  </si>
  <si>
    <t>Stamptec</t>
  </si>
  <si>
    <t>EXTRA - PRE-SÉRIE</t>
  </si>
  <si>
    <t>PRELIMINAR</t>
  </si>
  <si>
    <t>6.3</t>
  </si>
  <si>
    <t>19.34</t>
  </si>
  <si>
    <t>2.2</t>
  </si>
  <si>
    <t>Retorno de Embalagem</t>
  </si>
  <si>
    <t>TROPICS</t>
  </si>
  <si>
    <t>22.1</t>
  </si>
  <si>
    <t>28.7</t>
  </si>
  <si>
    <t>13.19</t>
  </si>
  <si>
    <t>13.26</t>
  </si>
  <si>
    <t>20.72</t>
  </si>
  <si>
    <t>67C5</t>
  </si>
  <si>
    <t>47 ERAV0034</t>
  </si>
  <si>
    <t>57C410</t>
  </si>
  <si>
    <t>AGC</t>
  </si>
  <si>
    <t>14.75</t>
  </si>
  <si>
    <t>4 PALLET 7 EGLT1185</t>
  </si>
  <si>
    <t>2 PALLET</t>
  </si>
  <si>
    <t>3 PALLET</t>
  </si>
  <si>
    <t>19 PALLET 3 EGLT1185</t>
  </si>
  <si>
    <t>5 PALLET 5 EGLT1185</t>
  </si>
  <si>
    <t>8 PALLET</t>
  </si>
  <si>
    <t>4 PALLET</t>
  </si>
  <si>
    <t>5 PALLET</t>
  </si>
  <si>
    <t>2 PALLET 4 EGLT1165</t>
  </si>
  <si>
    <t>1 PALLET 2 EGLT1185</t>
  </si>
  <si>
    <t>2 PALLET 2 ECMN1176 2 EGLT1185</t>
  </si>
  <si>
    <t xml:space="preserve">1 PALLET 6 EGLT1185 </t>
  </si>
  <si>
    <t>2 PALLET 4 EGLT1185</t>
  </si>
  <si>
    <t>25 PALLET</t>
  </si>
  <si>
    <t>11 PALLET</t>
  </si>
  <si>
    <t>18 PALLET</t>
  </si>
  <si>
    <t>19 PALLET</t>
  </si>
  <si>
    <t>27 EGLT1185</t>
  </si>
  <si>
    <t>9 PALLET 3 EGLT1185</t>
  </si>
  <si>
    <t>24 PALLET</t>
  </si>
  <si>
    <t>6 PALLET</t>
  </si>
  <si>
    <t>14 PALLET 13 EGLT1185</t>
  </si>
  <si>
    <t>7 PALLET 9 EGLT1185</t>
  </si>
  <si>
    <t>8 PALLET 7 EGLT1185</t>
  </si>
  <si>
    <t>1 PALLET 5 EGLT1185</t>
  </si>
  <si>
    <t>21 PALLET</t>
  </si>
  <si>
    <t>10 PALLET</t>
  </si>
  <si>
    <t>19.77</t>
  </si>
  <si>
    <t xml:space="preserve">7 PALLET 3 EGLT1185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</si>
</sst>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&quot;m³&quot;"/>
    <numFmt numFmtId="165" formatCode="_(* #,##0.00_);_(* \(#,##0.00\);_(* &quot;-&quot;??_);_(@_)"/>
    <numFmt numFmtId="166" formatCode="d/m/yy\ h:mm;@"/>
    <numFmt numFmtId="167" formatCode="dd/mm/yyyy\ \ hh:mm"/>
    <numFmt numFmtId="168" formatCode="dd/mm\ hh:mm"/>
    <numFmt numFmtId="169" formatCode="00&quot;:&quot;00"/>
    <numFmt numFmtId="170" formatCode="dd/mm/yy\ \ hh:mm;@"/>
  </numFmts>
  <fonts count="1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 tint="-4.9989318521683403E-2"/>
      <name val="Calibri"/>
      <family val="2"/>
    </font>
    <font>
      <b/>
      <sz val="11"/>
      <color indexed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70C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3" fillId="0" borderId="0"/>
    <xf numFmtId="0" fontId="2" fillId="0" borderId="0"/>
  </cellStyleXfs>
  <cellXfs count="64">
    <xf numFmtId="0" fontId="0" fillId="0" borderId="0" xfId="0"/>
    <xf numFmtId="0" fontId="4" fillId="0" borderId="0" xfId="0" applyFont="1"/>
    <xf numFmtId="0" fontId="5" fillId="2" borderId="3" xfId="1" applyFont="1" applyFill="1" applyBorder="1" applyAlignment="1" applyProtection="1">
      <alignment horizontal="center" vertical="center" wrapText="1"/>
      <protection locked="0"/>
    </xf>
    <xf numFmtId="164" fontId="6" fillId="2" borderId="3" xfId="1" applyNumberFormat="1" applyFont="1" applyFill="1" applyBorder="1" applyAlignment="1" applyProtection="1">
      <alignment horizontal="center" vertical="center" wrapText="1"/>
      <protection locked="0"/>
    </xf>
    <xf numFmtId="164" fontId="6" fillId="2" borderId="3" xfId="1" quotePrefix="1" applyNumberFormat="1" applyFont="1" applyFill="1" applyBorder="1" applyAlignment="1" applyProtection="1">
      <alignment horizontal="center" vertical="center" wrapText="1"/>
      <protection locked="0"/>
    </xf>
    <xf numFmtId="164" fontId="6" fillId="2" borderId="3" xfId="2" applyNumberFormat="1" applyFont="1" applyFill="1" applyBorder="1" applyAlignment="1" applyProtection="1">
      <alignment horizontal="center" vertical="center" wrapText="1"/>
      <protection locked="0"/>
    </xf>
    <xf numFmtId="0" fontId="6" fillId="2" borderId="3" xfId="1" applyFont="1" applyFill="1" applyBorder="1" applyAlignment="1" applyProtection="1">
      <alignment horizontal="center" vertical="center" wrapText="1"/>
      <protection locked="0"/>
    </xf>
    <xf numFmtId="165" fontId="6" fillId="2" borderId="3" xfId="2" applyFont="1" applyFill="1" applyBorder="1" applyAlignment="1" applyProtection="1">
      <alignment horizontal="center" vertical="center" wrapText="1"/>
      <protection locked="0"/>
    </xf>
    <xf numFmtId="165" fontId="6" fillId="2" borderId="3" xfId="2" applyFont="1" applyFill="1" applyBorder="1" applyAlignment="1" applyProtection="1">
      <alignment horizontal="center" vertical="center"/>
      <protection locked="0"/>
    </xf>
    <xf numFmtId="0" fontId="6" fillId="2" borderId="3" xfId="2" applyNumberFormat="1" applyFont="1" applyFill="1" applyBorder="1" applyAlignment="1" applyProtection="1">
      <alignment horizontal="center" vertical="center" wrapText="1"/>
      <protection locked="0"/>
    </xf>
    <xf numFmtId="166" fontId="6" fillId="2" borderId="3" xfId="1" applyNumberFormat="1" applyFont="1" applyFill="1" applyBorder="1" applyAlignment="1" applyProtection="1">
      <alignment horizontal="center" vertical="center" wrapText="1"/>
      <protection locked="0"/>
    </xf>
    <xf numFmtId="167" fontId="5" fillId="2" borderId="3" xfId="3" applyNumberFormat="1" applyFont="1" applyFill="1" applyBorder="1" applyAlignment="1" applyProtection="1">
      <alignment horizontal="center" vertical="center" wrapText="1"/>
      <protection locked="0"/>
    </xf>
    <xf numFmtId="0" fontId="5" fillId="2" borderId="3" xfId="4" applyFont="1" applyFill="1" applyBorder="1" applyAlignment="1" applyProtection="1">
      <alignment horizontal="center" vertical="center" wrapText="1"/>
      <protection locked="0"/>
    </xf>
    <xf numFmtId="0" fontId="5" fillId="2" borderId="3" xfId="3" applyFont="1" applyFill="1" applyBorder="1" applyAlignment="1" applyProtection="1">
      <alignment horizontal="center" vertical="center" wrapText="1"/>
      <protection locked="0"/>
    </xf>
    <xf numFmtId="0" fontId="5" fillId="2" borderId="3" xfId="3" applyFont="1" applyFill="1" applyBorder="1" applyAlignment="1" applyProtection="1">
      <alignment horizontal="center" vertical="center"/>
      <protection locked="0"/>
    </xf>
    <xf numFmtId="168" fontId="5" fillId="2" borderId="3" xfId="5" applyNumberFormat="1" applyFont="1" applyFill="1" applyBorder="1" applyAlignment="1" applyProtection="1">
      <alignment horizontal="center" vertical="center" wrapText="1" readingOrder="2"/>
      <protection locked="0"/>
    </xf>
    <xf numFmtId="168" fontId="5" fillId="2" borderId="3" xfId="5" applyNumberFormat="1" applyFont="1" applyFill="1" applyBorder="1" applyAlignment="1" applyProtection="1">
      <alignment horizontal="center" vertical="center" readingOrder="2"/>
      <protection locked="0"/>
    </xf>
    <xf numFmtId="0" fontId="7" fillId="2" borderId="3" xfId="1" applyFont="1" applyFill="1" applyBorder="1" applyAlignment="1">
      <alignment horizontal="center" vertical="center" wrapText="1"/>
    </xf>
    <xf numFmtId="20" fontId="7" fillId="2" borderId="3" xfId="1" applyNumberFormat="1" applyFont="1" applyFill="1" applyBorder="1" applyAlignment="1">
      <alignment horizontal="center" vertical="center" wrapText="1"/>
    </xf>
    <xf numFmtId="22" fontId="5" fillId="2" borderId="3" xfId="3" applyNumberFormat="1" applyFont="1" applyFill="1" applyBorder="1" applyAlignment="1" applyProtection="1">
      <alignment horizontal="center" vertical="center" wrapText="1"/>
      <protection locked="0"/>
    </xf>
    <xf numFmtId="169" fontId="5" fillId="2" borderId="3" xfId="3" applyNumberFormat="1" applyFont="1" applyFill="1" applyBorder="1" applyAlignment="1" applyProtection="1">
      <alignment horizontal="center" vertical="center" wrapText="1"/>
      <protection locked="0"/>
    </xf>
    <xf numFmtId="170" fontId="5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7" fillId="2" borderId="3" xfId="6" applyFont="1" applyFill="1" applyBorder="1" applyAlignment="1">
      <alignment horizontal="center" vertical="center" wrapText="1"/>
    </xf>
    <xf numFmtId="0" fontId="7" fillId="2" borderId="3" xfId="6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wrapText="1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10" fillId="0" borderId="3" xfId="7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1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14" fontId="9" fillId="0" borderId="3" xfId="7" applyNumberFormat="1" applyFont="1" applyBorder="1" applyAlignment="1">
      <alignment horizontal="center" vertical="center"/>
    </xf>
    <xf numFmtId="0" fontId="9" fillId="0" borderId="3" xfId="7" applyFont="1" applyBorder="1" applyAlignment="1">
      <alignment horizontal="center" vertical="center"/>
    </xf>
    <xf numFmtId="0" fontId="9" fillId="0" borderId="3" xfId="7" applyFont="1" applyBorder="1" applyAlignment="1">
      <alignment horizontal="left" vertical="center"/>
    </xf>
    <xf numFmtId="22" fontId="9" fillId="0" borderId="3" xfId="7" applyNumberFormat="1" applyFont="1" applyBorder="1" applyAlignment="1">
      <alignment horizontal="center" vertical="center"/>
    </xf>
    <xf numFmtId="0" fontId="10" fillId="0" borderId="3" xfId="7" applyFont="1" applyBorder="1" applyAlignment="1">
      <alignment horizontal="left"/>
    </xf>
    <xf numFmtId="0" fontId="4" fillId="0" borderId="3" xfId="0" applyFont="1" applyBorder="1" applyAlignment="1">
      <alignment horizontal="left"/>
    </xf>
    <xf numFmtId="22" fontId="4" fillId="0" borderId="3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8">
    <cellStyle name="Normal" xfId="0" builtinId="0"/>
    <cellStyle name="Normal 11" xfId="6" xr:uid="{0DD9CBD9-F95D-4D0B-9923-F2D151FF0D01}"/>
    <cellStyle name="Normal 2" xfId="1" xr:uid="{48929AEF-732E-41ED-9930-2201B54929F7}"/>
    <cellStyle name="Normal 2 2" xfId="3" xr:uid="{7C78191B-F4CF-4E1D-88C8-B0ACE3217022}"/>
    <cellStyle name="Normal 2 2 2" xfId="5" xr:uid="{E8A392D9-115B-4165-B0F0-480EE37D9A5B}"/>
    <cellStyle name="Normal 2 48" xfId="4" xr:uid="{AE1B4ADB-5C40-419F-A804-1FB90170431C}"/>
    <cellStyle name="Normal 3" xfId="7" xr:uid="{A3861FE7-0FD6-4B56-A665-E4E47F6E7269}"/>
    <cellStyle name="Separador de milhares 2" xfId="2" xr:uid="{A217C7F1-3EAD-46A4-A871-57187094B82F}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B46B-70DC-4720-989A-89AF80DC0760}">
  <dimension ref="A1:AN78"/>
  <sheetViews>
    <sheetView tabSelected="1" topLeftCell="A59" workbookViewId="0">
      <selection activeCell="F67" sqref="F67"/>
    </sheetView>
  </sheetViews>
  <sheetFormatPr defaultRowHeight="15" x14ac:dyDescent="0.25"/>
  <cols>
    <col min="1" max="1" width="10.7109375" style="1" bestFit="1" customWidth="1"/>
    <col min="2" max="2" width="12" style="1" bestFit="1" customWidth="1"/>
    <col min="3" max="3" width="6" style="1" bestFit="1" customWidth="1"/>
    <col min="4" max="4" width="21.140625" style="1" bestFit="1" customWidth="1"/>
    <col min="5" max="5" width="8.7109375" style="1" bestFit="1" customWidth="1"/>
    <col min="6" max="6" width="13.140625" style="1" bestFit="1" customWidth="1"/>
    <col min="7" max="7" width="31.85546875" style="1" customWidth="1"/>
    <col min="8" max="8" width="15.5703125" style="1" bestFit="1" customWidth="1"/>
    <col min="9" max="9" width="13" style="1" customWidth="1"/>
    <col min="10" max="10" width="15.7109375" style="1" customWidth="1"/>
    <col min="11" max="11" width="9" style="1" bestFit="1" customWidth="1"/>
    <col min="12" max="12" width="5.5703125" style="1" bestFit="1" customWidth="1"/>
    <col min="13" max="13" width="11" style="1" bestFit="1" customWidth="1"/>
    <col min="14" max="14" width="8" style="1" bestFit="1" customWidth="1"/>
    <col min="15" max="15" width="7.5703125" style="1" bestFit="1" customWidth="1"/>
    <col min="16" max="16" width="11.7109375" style="1" bestFit="1" customWidth="1"/>
    <col min="17" max="17" width="8.28515625" style="1" bestFit="1" customWidth="1"/>
    <col min="18" max="18" width="9" style="1" bestFit="1" customWidth="1"/>
    <col min="19" max="20" width="13.140625" style="1" bestFit="1" customWidth="1"/>
    <col min="21" max="21" width="8.28515625" style="1" bestFit="1" customWidth="1"/>
    <col min="22" max="22" width="14" style="1" bestFit="1" customWidth="1"/>
    <col min="23" max="23" width="9.140625" style="1"/>
    <col min="24" max="24" width="14.42578125" style="1" bestFit="1" customWidth="1"/>
    <col min="25" max="25" width="10" style="1" bestFit="1" customWidth="1"/>
    <col min="26" max="26" width="17.5703125" style="1" bestFit="1" customWidth="1"/>
    <col min="27" max="27" width="11.7109375" style="1" bestFit="1" customWidth="1"/>
    <col min="28" max="28" width="8.28515625" style="1" bestFit="1" customWidth="1"/>
    <col min="29" max="29" width="9" style="1" bestFit="1" customWidth="1"/>
    <col min="30" max="30" width="8" style="1" bestFit="1" customWidth="1"/>
    <col min="31" max="31" width="9.7109375" style="1" bestFit="1" customWidth="1"/>
    <col min="32" max="32" width="8" style="1" bestFit="1" customWidth="1"/>
    <col min="33" max="33" width="9.140625" style="1"/>
    <col min="34" max="34" width="11.85546875" style="1" bestFit="1" customWidth="1"/>
    <col min="35" max="35" width="8.140625" style="1" bestFit="1" customWidth="1"/>
    <col min="36" max="36" width="8" style="1" bestFit="1" customWidth="1"/>
    <col min="37" max="37" width="8.42578125" style="1" bestFit="1" customWidth="1"/>
    <col min="38" max="38" width="9" style="1" bestFit="1" customWidth="1"/>
    <col min="39" max="39" width="13.42578125" style="1" bestFit="1" customWidth="1"/>
    <col min="40" max="40" width="28.28515625" style="1" bestFit="1" customWidth="1"/>
    <col min="41" max="16384" width="9.140625" style="1"/>
  </cols>
  <sheetData>
    <row r="1" spans="1:40" s="24" customFormat="1" ht="41.25" customHeight="1" x14ac:dyDescent="0.2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11" t="s">
        <v>12</v>
      </c>
      <c r="N1" s="12" t="s">
        <v>13</v>
      </c>
      <c r="O1" s="13" t="s">
        <v>14</v>
      </c>
      <c r="P1" s="14" t="s">
        <v>15</v>
      </c>
      <c r="Q1" s="14" t="s">
        <v>16</v>
      </c>
      <c r="R1" s="14" t="s">
        <v>17</v>
      </c>
      <c r="S1" s="15" t="s">
        <v>18</v>
      </c>
      <c r="T1" s="15" t="s">
        <v>19</v>
      </c>
      <c r="U1" s="15" t="s">
        <v>20</v>
      </c>
      <c r="V1" s="16" t="s">
        <v>21</v>
      </c>
      <c r="W1" s="15" t="s">
        <v>22</v>
      </c>
      <c r="X1" s="17" t="s">
        <v>23</v>
      </c>
      <c r="Y1" s="18" t="s">
        <v>24</v>
      </c>
      <c r="Z1" s="14" t="s">
        <v>25</v>
      </c>
      <c r="AA1" s="14" t="s">
        <v>15</v>
      </c>
      <c r="AB1" s="14" t="s">
        <v>16</v>
      </c>
      <c r="AC1" s="14" t="s">
        <v>17</v>
      </c>
      <c r="AD1" s="19" t="s">
        <v>26</v>
      </c>
      <c r="AE1" s="20" t="s">
        <v>27</v>
      </c>
      <c r="AF1" s="15" t="s">
        <v>21</v>
      </c>
      <c r="AG1" s="15" t="s">
        <v>22</v>
      </c>
      <c r="AH1" s="17" t="s">
        <v>28</v>
      </c>
      <c r="AI1" s="20" t="s">
        <v>29</v>
      </c>
      <c r="AJ1" s="20" t="s">
        <v>30</v>
      </c>
      <c r="AK1" s="20" t="s">
        <v>31</v>
      </c>
      <c r="AL1" s="21" t="s">
        <v>32</v>
      </c>
      <c r="AM1" s="22" t="s">
        <v>33</v>
      </c>
      <c r="AN1" s="23" t="s">
        <v>34</v>
      </c>
    </row>
    <row r="2" spans="1:40" s="32" customFormat="1" x14ac:dyDescent="0.25">
      <c r="A2" s="25">
        <v>46198</v>
      </c>
      <c r="B2" s="25" t="s">
        <v>181</v>
      </c>
      <c r="C2" s="26" t="s">
        <v>256</v>
      </c>
      <c r="D2" s="26" t="s">
        <v>36</v>
      </c>
      <c r="E2" s="26" t="s">
        <v>198</v>
      </c>
      <c r="F2" s="26" t="s">
        <v>199</v>
      </c>
      <c r="G2" s="27" t="s">
        <v>266</v>
      </c>
      <c r="H2" s="26" t="s">
        <v>80</v>
      </c>
      <c r="I2" s="28" t="s">
        <v>255</v>
      </c>
      <c r="J2" s="26" t="s">
        <v>200</v>
      </c>
      <c r="K2" s="26">
        <v>885.93600000000015</v>
      </c>
      <c r="L2" s="29">
        <v>7.4483489639999991</v>
      </c>
      <c r="M2" s="30" t="s">
        <v>201</v>
      </c>
      <c r="N2" s="31">
        <v>68203</v>
      </c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s="32" customFormat="1" x14ac:dyDescent="0.25">
      <c r="A3" s="25">
        <v>46198</v>
      </c>
      <c r="B3" s="25" t="s">
        <v>181</v>
      </c>
      <c r="C3" s="26" t="s">
        <v>194</v>
      </c>
      <c r="D3" s="26" t="s">
        <v>67</v>
      </c>
      <c r="E3" s="26" t="s">
        <v>195</v>
      </c>
      <c r="F3" s="26" t="s">
        <v>196</v>
      </c>
      <c r="G3" s="27" t="s">
        <v>267</v>
      </c>
      <c r="H3" s="26" t="s">
        <v>80</v>
      </c>
      <c r="I3" s="28" t="s">
        <v>255</v>
      </c>
      <c r="J3" s="26" t="s">
        <v>104</v>
      </c>
      <c r="K3" s="26">
        <v>131.78</v>
      </c>
      <c r="L3" s="29">
        <v>0.67200000000000004</v>
      </c>
      <c r="M3" s="30" t="s">
        <v>197</v>
      </c>
      <c r="N3" s="31">
        <v>68204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s="32" customFormat="1" x14ac:dyDescent="0.25">
      <c r="A4" s="25">
        <v>46198</v>
      </c>
      <c r="B4" s="25" t="s">
        <v>181</v>
      </c>
      <c r="C4" s="26">
        <v>43</v>
      </c>
      <c r="D4" s="26" t="s">
        <v>73</v>
      </c>
      <c r="E4" s="26" t="s">
        <v>206</v>
      </c>
      <c r="F4" s="26" t="s">
        <v>207</v>
      </c>
      <c r="G4" s="27" t="s">
        <v>70</v>
      </c>
      <c r="H4" s="26" t="s">
        <v>80</v>
      </c>
      <c r="I4" s="28" t="s">
        <v>255</v>
      </c>
      <c r="J4" s="26" t="s">
        <v>180</v>
      </c>
      <c r="K4" s="26">
        <v>294.5</v>
      </c>
      <c r="L4" s="29">
        <v>0.8644482</v>
      </c>
      <c r="M4" s="30" t="s">
        <v>208</v>
      </c>
      <c r="N4" s="31">
        <v>68205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s="31" customFormat="1" x14ac:dyDescent="0.25">
      <c r="A5" s="25">
        <v>46198</v>
      </c>
      <c r="B5" s="25" t="s">
        <v>160</v>
      </c>
      <c r="C5" s="26" t="s">
        <v>164</v>
      </c>
      <c r="D5" s="26" t="s">
        <v>36</v>
      </c>
      <c r="E5" s="26">
        <v>4019</v>
      </c>
      <c r="F5" s="26" t="s">
        <v>165</v>
      </c>
      <c r="G5" s="27" t="s">
        <v>268</v>
      </c>
      <c r="H5" s="26" t="s">
        <v>80</v>
      </c>
      <c r="I5" s="28" t="s">
        <v>255</v>
      </c>
      <c r="J5" s="26" t="s">
        <v>128</v>
      </c>
      <c r="K5" s="26">
        <v>406</v>
      </c>
      <c r="L5" s="29">
        <v>1.2347999999999999</v>
      </c>
      <c r="M5" s="30" t="s">
        <v>166</v>
      </c>
      <c r="N5" s="31">
        <v>68206</v>
      </c>
    </row>
    <row r="6" spans="1:40" s="39" customFormat="1" x14ac:dyDescent="0.25">
      <c r="A6" s="33">
        <v>46198</v>
      </c>
      <c r="B6" s="33" t="s">
        <v>76</v>
      </c>
      <c r="C6" s="34" t="s">
        <v>145</v>
      </c>
      <c r="D6" s="34" t="s">
        <v>218</v>
      </c>
      <c r="E6" s="34" t="s">
        <v>146</v>
      </c>
      <c r="F6" s="34" t="s">
        <v>147</v>
      </c>
      <c r="G6" s="35" t="s">
        <v>148</v>
      </c>
      <c r="H6" s="34" t="s">
        <v>80</v>
      </c>
      <c r="I6" s="36" t="s">
        <v>255</v>
      </c>
      <c r="J6" s="34" t="s">
        <v>128</v>
      </c>
      <c r="K6" s="34">
        <v>6941</v>
      </c>
      <c r="L6" s="37">
        <v>9.18</v>
      </c>
      <c r="M6" s="38" t="s">
        <v>149</v>
      </c>
      <c r="N6" s="39">
        <v>68207</v>
      </c>
    </row>
    <row r="7" spans="1:40" s="46" customFormat="1" x14ac:dyDescent="0.25">
      <c r="A7" s="40">
        <v>46198</v>
      </c>
      <c r="B7" s="40" t="s">
        <v>181</v>
      </c>
      <c r="C7" s="41">
        <v>34</v>
      </c>
      <c r="D7" s="41" t="s">
        <v>218</v>
      </c>
      <c r="E7" s="41" t="s">
        <v>146</v>
      </c>
      <c r="F7" s="41" t="s">
        <v>147</v>
      </c>
      <c r="G7" s="42" t="s">
        <v>79</v>
      </c>
      <c r="H7" s="41" t="s">
        <v>80</v>
      </c>
      <c r="I7" s="43" t="s">
        <v>255</v>
      </c>
      <c r="J7" s="41" t="s">
        <v>128</v>
      </c>
      <c r="K7" s="41">
        <v>1801</v>
      </c>
      <c r="L7" s="44">
        <v>3.06</v>
      </c>
      <c r="M7" s="45" t="s">
        <v>149</v>
      </c>
      <c r="N7" s="46">
        <v>68207</v>
      </c>
    </row>
    <row r="8" spans="1:40" s="53" customFormat="1" x14ac:dyDescent="0.25">
      <c r="A8" s="47">
        <v>46198</v>
      </c>
      <c r="B8" s="47" t="s">
        <v>214</v>
      </c>
      <c r="C8" s="48" t="s">
        <v>239</v>
      </c>
      <c r="D8" s="48" t="s">
        <v>218</v>
      </c>
      <c r="E8" s="48" t="s">
        <v>146</v>
      </c>
      <c r="F8" s="48" t="s">
        <v>147</v>
      </c>
      <c r="G8" s="49" t="s">
        <v>79</v>
      </c>
      <c r="H8" s="48" t="s">
        <v>80</v>
      </c>
      <c r="I8" s="50" t="s">
        <v>255</v>
      </c>
      <c r="J8" s="48" t="s">
        <v>128</v>
      </c>
      <c r="K8" s="48">
        <v>1819.5</v>
      </c>
      <c r="L8" s="51">
        <v>3.06</v>
      </c>
      <c r="M8" s="52" t="s">
        <v>149</v>
      </c>
      <c r="N8" s="53">
        <v>68207</v>
      </c>
    </row>
    <row r="9" spans="1:40" s="39" customFormat="1" x14ac:dyDescent="0.25">
      <c r="A9" s="33">
        <v>46198</v>
      </c>
      <c r="B9" s="33" t="s">
        <v>76</v>
      </c>
      <c r="C9" s="34" t="s">
        <v>158</v>
      </c>
      <c r="D9" s="34" t="s">
        <v>218</v>
      </c>
      <c r="E9" s="34" t="s">
        <v>37</v>
      </c>
      <c r="F9" s="34" t="s">
        <v>38</v>
      </c>
      <c r="G9" s="35" t="s">
        <v>269</v>
      </c>
      <c r="H9" s="34" t="s">
        <v>80</v>
      </c>
      <c r="I9" s="36" t="s">
        <v>255</v>
      </c>
      <c r="J9" s="34" t="s">
        <v>85</v>
      </c>
      <c r="K9" s="34">
        <v>2951.9579999999996</v>
      </c>
      <c r="L9" s="37">
        <v>21.204000000000001</v>
      </c>
      <c r="M9" s="38" t="s">
        <v>159</v>
      </c>
      <c r="N9" s="39">
        <v>68208</v>
      </c>
    </row>
    <row r="10" spans="1:40" s="53" customFormat="1" x14ac:dyDescent="0.25">
      <c r="A10" s="47">
        <v>46198</v>
      </c>
      <c r="B10" s="47" t="s">
        <v>214</v>
      </c>
      <c r="C10" s="48" t="s">
        <v>241</v>
      </c>
      <c r="D10" s="48" t="s">
        <v>218</v>
      </c>
      <c r="E10" s="48" t="s">
        <v>37</v>
      </c>
      <c r="F10" s="48" t="s">
        <v>38</v>
      </c>
      <c r="G10" s="49" t="s">
        <v>270</v>
      </c>
      <c r="H10" s="48" t="s">
        <v>80</v>
      </c>
      <c r="I10" s="50" t="s">
        <v>255</v>
      </c>
      <c r="J10" s="48" t="s">
        <v>85</v>
      </c>
      <c r="K10" s="48">
        <v>1267.4040000000002</v>
      </c>
      <c r="L10" s="51">
        <v>10.341600000000001</v>
      </c>
      <c r="M10" s="52" t="s">
        <v>159</v>
      </c>
      <c r="N10" s="53">
        <v>68208</v>
      </c>
    </row>
    <row r="11" spans="1:40" s="39" customFormat="1" x14ac:dyDescent="0.25">
      <c r="A11" s="33">
        <v>46198</v>
      </c>
      <c r="B11" s="33" t="s">
        <v>76</v>
      </c>
      <c r="C11" s="34" t="s">
        <v>125</v>
      </c>
      <c r="D11" s="34" t="s">
        <v>36</v>
      </c>
      <c r="E11" s="34" t="s">
        <v>126</v>
      </c>
      <c r="F11" s="34" t="s">
        <v>127</v>
      </c>
      <c r="G11" s="35" t="s">
        <v>271</v>
      </c>
      <c r="H11" s="34" t="s">
        <v>80</v>
      </c>
      <c r="I11" s="36" t="s">
        <v>255</v>
      </c>
      <c r="J11" s="34" t="s">
        <v>128</v>
      </c>
      <c r="K11" s="34">
        <v>2072.34</v>
      </c>
      <c r="L11" s="37">
        <v>5.0004448200000002</v>
      </c>
      <c r="M11" s="38" t="s">
        <v>129</v>
      </c>
      <c r="N11" s="39">
        <v>68209</v>
      </c>
    </row>
    <row r="12" spans="1:40" s="46" customFormat="1" x14ac:dyDescent="0.25">
      <c r="A12" s="40">
        <v>46198</v>
      </c>
      <c r="B12" s="40" t="s">
        <v>160</v>
      </c>
      <c r="C12" s="41" t="s">
        <v>173</v>
      </c>
      <c r="D12" s="41" t="s">
        <v>67</v>
      </c>
      <c r="E12" s="41" t="s">
        <v>126</v>
      </c>
      <c r="F12" s="41" t="s">
        <v>127</v>
      </c>
      <c r="G12" s="42" t="s">
        <v>268</v>
      </c>
      <c r="H12" s="41" t="s">
        <v>80</v>
      </c>
      <c r="I12" s="43" t="s">
        <v>255</v>
      </c>
      <c r="J12" s="41" t="s">
        <v>128</v>
      </c>
      <c r="K12" s="41">
        <v>908.4</v>
      </c>
      <c r="L12" s="44">
        <v>3.024</v>
      </c>
      <c r="M12" s="45" t="s">
        <v>129</v>
      </c>
      <c r="N12" s="46">
        <v>68209</v>
      </c>
    </row>
    <row r="13" spans="1:40" s="46" customFormat="1" x14ac:dyDescent="0.25">
      <c r="A13" s="40">
        <v>46198</v>
      </c>
      <c r="B13" s="40" t="s">
        <v>181</v>
      </c>
      <c r="C13" s="41" t="s">
        <v>202</v>
      </c>
      <c r="D13" s="41" t="s">
        <v>67</v>
      </c>
      <c r="E13" s="41" t="s">
        <v>126</v>
      </c>
      <c r="F13" s="41" t="s">
        <v>127</v>
      </c>
      <c r="G13" s="42" t="s">
        <v>272</v>
      </c>
      <c r="H13" s="41" t="s">
        <v>80</v>
      </c>
      <c r="I13" s="43" t="s">
        <v>255</v>
      </c>
      <c r="J13" s="41" t="s">
        <v>128</v>
      </c>
      <c r="K13" s="41">
        <v>1220.2900000000002</v>
      </c>
      <c r="L13" s="44">
        <v>2.9464192800000006</v>
      </c>
      <c r="M13" s="45" t="s">
        <v>129</v>
      </c>
      <c r="N13" s="46">
        <v>68209</v>
      </c>
    </row>
    <row r="14" spans="1:40" s="53" customFormat="1" x14ac:dyDescent="0.25">
      <c r="A14" s="47">
        <v>46198</v>
      </c>
      <c r="B14" s="47" t="s">
        <v>214</v>
      </c>
      <c r="C14" s="48" t="s">
        <v>235</v>
      </c>
      <c r="D14" s="48" t="s">
        <v>67</v>
      </c>
      <c r="E14" s="48" t="s">
        <v>126</v>
      </c>
      <c r="F14" s="48" t="s">
        <v>127</v>
      </c>
      <c r="G14" t="s">
        <v>273</v>
      </c>
      <c r="H14" s="48" t="s">
        <v>80</v>
      </c>
      <c r="I14" s="50" t="s">
        <v>255</v>
      </c>
      <c r="J14" s="48" t="s">
        <v>128</v>
      </c>
      <c r="K14" s="48">
        <v>1124.06</v>
      </c>
      <c r="L14" s="51">
        <v>2.7681640559999998</v>
      </c>
      <c r="M14" s="52" t="s">
        <v>129</v>
      </c>
      <c r="N14" s="53">
        <v>68209</v>
      </c>
    </row>
    <row r="15" spans="1:40" s="39" customFormat="1" x14ac:dyDescent="0.25">
      <c r="A15" s="33">
        <v>46198</v>
      </c>
      <c r="B15" s="33" t="s">
        <v>76</v>
      </c>
      <c r="C15" s="34">
        <v>19119</v>
      </c>
      <c r="D15" s="61" t="s">
        <v>36</v>
      </c>
      <c r="E15" s="34" t="s">
        <v>150</v>
      </c>
      <c r="F15" s="34" t="s">
        <v>151</v>
      </c>
      <c r="G15" s="35" t="s">
        <v>70</v>
      </c>
      <c r="H15" s="34" t="s">
        <v>80</v>
      </c>
      <c r="I15" s="36" t="s">
        <v>255</v>
      </c>
      <c r="J15" s="34" t="s">
        <v>123</v>
      </c>
      <c r="K15" s="34">
        <v>51.24</v>
      </c>
      <c r="L15" s="37">
        <v>0.4032</v>
      </c>
      <c r="M15" s="38" t="s">
        <v>152</v>
      </c>
      <c r="N15" s="39">
        <v>68210</v>
      </c>
    </row>
    <row r="16" spans="1:40" s="46" customFormat="1" x14ac:dyDescent="0.25">
      <c r="A16" s="40">
        <v>46198</v>
      </c>
      <c r="B16" s="40" t="s">
        <v>181</v>
      </c>
      <c r="C16" s="41" t="s">
        <v>209</v>
      </c>
      <c r="D16" s="62" t="s">
        <v>36</v>
      </c>
      <c r="E16" s="41" t="s">
        <v>150</v>
      </c>
      <c r="F16" s="41" t="s">
        <v>151</v>
      </c>
      <c r="G16" s="42" t="s">
        <v>274</v>
      </c>
      <c r="H16" s="41" t="s">
        <v>80</v>
      </c>
      <c r="I16" s="43" t="s">
        <v>255</v>
      </c>
      <c r="J16" s="41" t="s">
        <v>123</v>
      </c>
      <c r="K16" s="41">
        <v>320.62</v>
      </c>
      <c r="L16" s="44">
        <v>3.6576</v>
      </c>
      <c r="M16" s="45" t="s">
        <v>152</v>
      </c>
      <c r="N16" s="46">
        <v>68210</v>
      </c>
    </row>
    <row r="17" spans="1:14" s="46" customFormat="1" x14ac:dyDescent="0.25">
      <c r="A17" s="40">
        <v>46198</v>
      </c>
      <c r="B17" s="40" t="s">
        <v>181</v>
      </c>
      <c r="C17" s="41" t="s">
        <v>184</v>
      </c>
      <c r="D17" s="62" t="s">
        <v>36</v>
      </c>
      <c r="E17" s="41">
        <v>65</v>
      </c>
      <c r="F17" s="41" t="s">
        <v>185</v>
      </c>
      <c r="G17" s="42" t="s">
        <v>186</v>
      </c>
      <c r="H17" s="41" t="s">
        <v>80</v>
      </c>
      <c r="I17" s="43" t="s">
        <v>255</v>
      </c>
      <c r="J17" s="41" t="s">
        <v>89</v>
      </c>
      <c r="K17" s="41">
        <v>703.59999999999991</v>
      </c>
      <c r="L17" s="44">
        <v>2.58</v>
      </c>
      <c r="M17" s="45" t="s">
        <v>152</v>
      </c>
      <c r="N17" s="46">
        <v>68210</v>
      </c>
    </row>
    <row r="18" spans="1:14" s="53" customFormat="1" x14ac:dyDescent="0.25">
      <c r="A18" s="47">
        <v>46198</v>
      </c>
      <c r="B18" s="47" t="s">
        <v>214</v>
      </c>
      <c r="C18" s="48" t="s">
        <v>215</v>
      </c>
      <c r="D18" s="63" t="s">
        <v>36</v>
      </c>
      <c r="E18" s="48">
        <v>65</v>
      </c>
      <c r="F18" s="48" t="s">
        <v>185</v>
      </c>
      <c r="G18" s="49" t="s">
        <v>275</v>
      </c>
      <c r="H18" s="48" t="s">
        <v>80</v>
      </c>
      <c r="I18" s="50" t="s">
        <v>255</v>
      </c>
      <c r="J18" s="48" t="s">
        <v>89</v>
      </c>
      <c r="K18" s="48">
        <v>833.3</v>
      </c>
      <c r="L18" s="51">
        <v>2.2164000000000001</v>
      </c>
      <c r="M18" s="52" t="s">
        <v>152</v>
      </c>
      <c r="N18" s="53">
        <v>68210</v>
      </c>
    </row>
    <row r="19" spans="1:14" s="39" customFormat="1" x14ac:dyDescent="0.25">
      <c r="A19" s="33">
        <v>46198</v>
      </c>
      <c r="B19" s="33" t="s">
        <v>76</v>
      </c>
      <c r="C19" s="34" t="s">
        <v>87</v>
      </c>
      <c r="D19" s="34" t="s">
        <v>36</v>
      </c>
      <c r="E19" s="34">
        <v>445</v>
      </c>
      <c r="F19" s="34" t="s">
        <v>88</v>
      </c>
      <c r="G19" s="35" t="s">
        <v>273</v>
      </c>
      <c r="H19" s="34" t="s">
        <v>80</v>
      </c>
      <c r="I19" s="36" t="s">
        <v>255</v>
      </c>
      <c r="J19" s="34" t="s">
        <v>89</v>
      </c>
      <c r="K19" s="34">
        <v>610</v>
      </c>
      <c r="L19" s="37">
        <v>5.04</v>
      </c>
      <c r="M19" s="38" t="s">
        <v>90</v>
      </c>
      <c r="N19" s="39">
        <v>68211</v>
      </c>
    </row>
    <row r="20" spans="1:14" s="53" customFormat="1" x14ac:dyDescent="0.25">
      <c r="A20" s="47">
        <v>46198</v>
      </c>
      <c r="B20" s="47" t="s">
        <v>181</v>
      </c>
      <c r="C20" s="48" t="s">
        <v>188</v>
      </c>
      <c r="D20" s="48" t="s">
        <v>36</v>
      </c>
      <c r="E20" s="48">
        <v>445</v>
      </c>
      <c r="F20" s="48" t="s">
        <v>88</v>
      </c>
      <c r="G20" s="49" t="s">
        <v>267</v>
      </c>
      <c r="H20" s="48" t="s">
        <v>80</v>
      </c>
      <c r="I20" s="50" t="s">
        <v>255</v>
      </c>
      <c r="J20" s="48" t="s">
        <v>89</v>
      </c>
      <c r="K20" s="48">
        <v>244</v>
      </c>
      <c r="L20" s="51">
        <v>2.016</v>
      </c>
      <c r="M20" s="52" t="s">
        <v>90</v>
      </c>
      <c r="N20" s="53">
        <v>68211</v>
      </c>
    </row>
    <row r="21" spans="1:14" s="39" customFormat="1" x14ac:dyDescent="0.25">
      <c r="A21" s="33">
        <v>46198</v>
      </c>
      <c r="B21" s="33" t="s">
        <v>76</v>
      </c>
      <c r="C21" s="34">
        <v>16200</v>
      </c>
      <c r="D21" s="34" t="s">
        <v>60</v>
      </c>
      <c r="E21" s="34" t="s">
        <v>134</v>
      </c>
      <c r="F21" s="34" t="s">
        <v>135</v>
      </c>
      <c r="G21" s="35" t="s">
        <v>280</v>
      </c>
      <c r="H21" s="34" t="s">
        <v>80</v>
      </c>
      <c r="I21" s="36" t="s">
        <v>255</v>
      </c>
      <c r="J21" s="34" t="s">
        <v>118</v>
      </c>
      <c r="K21" s="34">
        <v>858.88000000000011</v>
      </c>
      <c r="L21" s="37">
        <v>2.78146176</v>
      </c>
      <c r="M21" s="38" t="s">
        <v>136</v>
      </c>
      <c r="N21" s="39">
        <v>68212</v>
      </c>
    </row>
    <row r="22" spans="1:14" s="46" customFormat="1" x14ac:dyDescent="0.25">
      <c r="A22" s="40">
        <v>46198</v>
      </c>
      <c r="B22" s="40" t="s">
        <v>181</v>
      </c>
      <c r="C22" s="41" t="s">
        <v>204</v>
      </c>
      <c r="D22" s="41" t="s">
        <v>60</v>
      </c>
      <c r="E22" s="41" t="s">
        <v>134</v>
      </c>
      <c r="F22" s="41" t="s">
        <v>135</v>
      </c>
      <c r="G22" s="42" t="s">
        <v>272</v>
      </c>
      <c r="H22" s="41" t="s">
        <v>80</v>
      </c>
      <c r="I22" s="43" t="s">
        <v>255</v>
      </c>
      <c r="J22" s="41" t="s">
        <v>118</v>
      </c>
      <c r="K22" s="41">
        <v>562.61</v>
      </c>
      <c r="L22" s="44">
        <v>2.1948662399999996</v>
      </c>
      <c r="M22" s="45" t="s">
        <v>136</v>
      </c>
      <c r="N22" s="46">
        <v>68212</v>
      </c>
    </row>
    <row r="23" spans="1:14" s="53" customFormat="1" x14ac:dyDescent="0.25">
      <c r="A23" s="47">
        <v>46198</v>
      </c>
      <c r="B23" s="47" t="s">
        <v>214</v>
      </c>
      <c r="C23" s="48" t="s">
        <v>237</v>
      </c>
      <c r="D23" s="48" t="s">
        <v>60</v>
      </c>
      <c r="E23" s="48" t="s">
        <v>134</v>
      </c>
      <c r="F23" s="48" t="s">
        <v>135</v>
      </c>
      <c r="G23" s="49" t="s">
        <v>294</v>
      </c>
      <c r="H23" s="48" t="s">
        <v>80</v>
      </c>
      <c r="I23" s="50" t="s">
        <v>255</v>
      </c>
      <c r="J23" s="48" t="s">
        <v>118</v>
      </c>
      <c r="K23" s="48">
        <v>3201.45</v>
      </c>
      <c r="L23" s="51">
        <v>9.9755856000000005</v>
      </c>
      <c r="M23" s="52" t="s">
        <v>136</v>
      </c>
      <c r="N23" s="53">
        <v>68212</v>
      </c>
    </row>
    <row r="24" spans="1:14" s="31" customFormat="1" x14ac:dyDescent="0.25">
      <c r="A24" s="25">
        <v>46198</v>
      </c>
      <c r="B24" s="25" t="s">
        <v>76</v>
      </c>
      <c r="C24" s="26" t="s">
        <v>120</v>
      </c>
      <c r="D24" s="26" t="s">
        <v>60</v>
      </c>
      <c r="E24" s="26" t="s">
        <v>121</v>
      </c>
      <c r="F24" s="26" t="s">
        <v>122</v>
      </c>
      <c r="G24" s="27" t="s">
        <v>271</v>
      </c>
      <c r="H24" s="26" t="s">
        <v>80</v>
      </c>
      <c r="I24" s="28" t="s">
        <v>255</v>
      </c>
      <c r="J24" s="26" t="s">
        <v>123</v>
      </c>
      <c r="K24" s="26">
        <v>1632.48</v>
      </c>
      <c r="L24" s="29">
        <v>20.100000000000001</v>
      </c>
      <c r="M24" s="30" t="s">
        <v>124</v>
      </c>
      <c r="N24" s="31">
        <v>68213</v>
      </c>
    </row>
    <row r="25" spans="1:14" s="39" customFormat="1" x14ac:dyDescent="0.25">
      <c r="A25" s="33">
        <v>46198</v>
      </c>
      <c r="B25" s="33" t="s">
        <v>76</v>
      </c>
      <c r="C25" s="34" t="s">
        <v>137</v>
      </c>
      <c r="D25" s="34" t="s">
        <v>60</v>
      </c>
      <c r="E25" s="34" t="s">
        <v>138</v>
      </c>
      <c r="F25" s="34" t="s">
        <v>139</v>
      </c>
      <c r="G25" s="35" t="s">
        <v>276</v>
      </c>
      <c r="H25" s="34" t="s">
        <v>80</v>
      </c>
      <c r="I25" s="36" t="s">
        <v>255</v>
      </c>
      <c r="J25" s="34" t="s">
        <v>89</v>
      </c>
      <c r="K25" s="34">
        <v>1571.6999999999998</v>
      </c>
      <c r="L25" s="37">
        <v>4.5740006759999998</v>
      </c>
      <c r="M25" s="38" t="s">
        <v>140</v>
      </c>
      <c r="N25" s="39">
        <v>68214</v>
      </c>
    </row>
    <row r="26" spans="1:14" s="46" customFormat="1" x14ac:dyDescent="0.25">
      <c r="A26" s="40">
        <v>46198</v>
      </c>
      <c r="B26" s="40" t="s">
        <v>181</v>
      </c>
      <c r="C26" s="41" t="s">
        <v>205</v>
      </c>
      <c r="D26" s="41" t="s">
        <v>60</v>
      </c>
      <c r="E26" s="41" t="s">
        <v>138</v>
      </c>
      <c r="F26" s="41" t="s">
        <v>139</v>
      </c>
      <c r="G26" s="42" t="s">
        <v>273</v>
      </c>
      <c r="H26" s="41" t="s">
        <v>80</v>
      </c>
      <c r="I26" s="43" t="s">
        <v>255</v>
      </c>
      <c r="J26" s="41" t="s">
        <v>89</v>
      </c>
      <c r="K26" s="41">
        <v>1269.6799999999998</v>
      </c>
      <c r="L26" s="44">
        <v>3.1389296400000002</v>
      </c>
      <c r="M26" s="45" t="s">
        <v>140</v>
      </c>
      <c r="N26" s="46">
        <v>68214</v>
      </c>
    </row>
    <row r="27" spans="1:14" s="53" customFormat="1" x14ac:dyDescent="0.25">
      <c r="A27" s="47">
        <v>46198</v>
      </c>
      <c r="B27" s="47" t="s">
        <v>214</v>
      </c>
      <c r="C27" s="48" t="s">
        <v>238</v>
      </c>
      <c r="D27" s="48" t="s">
        <v>60</v>
      </c>
      <c r="E27" s="48" t="s">
        <v>138</v>
      </c>
      <c r="F27" s="48" t="s">
        <v>139</v>
      </c>
      <c r="G27" s="49" t="s">
        <v>268</v>
      </c>
      <c r="H27" s="48" t="s">
        <v>80</v>
      </c>
      <c r="I27" s="50" t="s">
        <v>255</v>
      </c>
      <c r="J27" s="48" t="s">
        <v>89</v>
      </c>
      <c r="K27" s="48">
        <v>425.44000000000005</v>
      </c>
      <c r="L27" s="51">
        <v>1.7947591199999999</v>
      </c>
      <c r="M27" s="52" t="s">
        <v>140</v>
      </c>
      <c r="N27" s="53">
        <v>68214</v>
      </c>
    </row>
    <row r="28" spans="1:14" s="31" customFormat="1" x14ac:dyDescent="0.25">
      <c r="A28" s="25">
        <v>46198</v>
      </c>
      <c r="B28" s="25" t="s">
        <v>160</v>
      </c>
      <c r="C28" s="26" t="s">
        <v>174</v>
      </c>
      <c r="D28" s="26" t="s">
        <v>36</v>
      </c>
      <c r="E28" s="26" t="s">
        <v>175</v>
      </c>
      <c r="F28" s="26" t="s">
        <v>176</v>
      </c>
      <c r="G28" s="27" t="s">
        <v>292</v>
      </c>
      <c r="H28" s="26" t="s">
        <v>80</v>
      </c>
      <c r="I28" s="28" t="s">
        <v>255</v>
      </c>
      <c r="J28" s="26" t="s">
        <v>104</v>
      </c>
      <c r="K28" s="26">
        <v>475.93599999999998</v>
      </c>
      <c r="L28" s="29">
        <v>1.1289600000000002</v>
      </c>
      <c r="M28" s="30" t="s">
        <v>177</v>
      </c>
      <c r="N28" s="31">
        <v>68215</v>
      </c>
    </row>
    <row r="29" spans="1:14" s="31" customFormat="1" x14ac:dyDescent="0.25">
      <c r="A29" s="25">
        <v>46198</v>
      </c>
      <c r="B29" s="25" t="s">
        <v>181</v>
      </c>
      <c r="C29" s="26" t="s">
        <v>257</v>
      </c>
      <c r="D29" s="26" t="s">
        <v>36</v>
      </c>
      <c r="E29" s="26">
        <v>3042</v>
      </c>
      <c r="F29" s="26" t="s">
        <v>190</v>
      </c>
      <c r="G29" s="27" t="s">
        <v>277</v>
      </c>
      <c r="H29" s="26" t="s">
        <v>80</v>
      </c>
      <c r="I29" s="28" t="s">
        <v>255</v>
      </c>
      <c r="J29" s="26" t="s">
        <v>156</v>
      </c>
      <c r="K29" s="26">
        <v>616.20000000000005</v>
      </c>
      <c r="L29" s="29">
        <v>6.3719999999999999</v>
      </c>
      <c r="M29" s="30" t="s">
        <v>191</v>
      </c>
      <c r="N29" s="31">
        <v>68216</v>
      </c>
    </row>
    <row r="30" spans="1:14" s="39" customFormat="1" x14ac:dyDescent="0.25">
      <c r="A30" s="33">
        <v>46198</v>
      </c>
      <c r="B30" s="33" t="s">
        <v>76</v>
      </c>
      <c r="C30" s="34" t="s">
        <v>95</v>
      </c>
      <c r="D30" s="34" t="s">
        <v>36</v>
      </c>
      <c r="E30" s="34">
        <v>1739</v>
      </c>
      <c r="F30" s="34" t="s">
        <v>96</v>
      </c>
      <c r="G30" s="35" t="s">
        <v>272</v>
      </c>
      <c r="H30" s="34" t="s">
        <v>80</v>
      </c>
      <c r="I30" s="36" t="s">
        <v>255</v>
      </c>
      <c r="J30" s="34" t="s">
        <v>97</v>
      </c>
      <c r="K30" s="34">
        <v>361.68</v>
      </c>
      <c r="L30" s="37">
        <v>1.60608</v>
      </c>
      <c r="M30" s="38" t="s">
        <v>98</v>
      </c>
      <c r="N30" s="39">
        <v>68217</v>
      </c>
    </row>
    <row r="31" spans="1:14" s="53" customFormat="1" x14ac:dyDescent="0.25">
      <c r="A31" s="47">
        <v>46198</v>
      </c>
      <c r="B31" s="47" t="s">
        <v>181</v>
      </c>
      <c r="C31" s="48" t="s">
        <v>189</v>
      </c>
      <c r="D31" s="48" t="s">
        <v>36</v>
      </c>
      <c r="E31" s="48">
        <v>1739</v>
      </c>
      <c r="F31" s="48" t="s">
        <v>96</v>
      </c>
      <c r="G31" t="s">
        <v>272</v>
      </c>
      <c r="H31" s="48" t="s">
        <v>80</v>
      </c>
      <c r="I31" s="50" t="s">
        <v>255</v>
      </c>
      <c r="J31" s="48" t="s">
        <v>97</v>
      </c>
      <c r="K31" s="48">
        <v>352.59000000000003</v>
      </c>
      <c r="L31" s="51">
        <v>2.7047999999999996</v>
      </c>
      <c r="M31" s="52" t="s">
        <v>98</v>
      </c>
      <c r="N31" s="53">
        <v>68217</v>
      </c>
    </row>
    <row r="32" spans="1:14" s="39" customFormat="1" x14ac:dyDescent="0.25">
      <c r="A32" s="33">
        <v>46198</v>
      </c>
      <c r="B32" s="33" t="s">
        <v>76</v>
      </c>
      <c r="C32" s="34" t="s">
        <v>91</v>
      </c>
      <c r="D32" s="34" t="s">
        <v>60</v>
      </c>
      <c r="E32" s="34" t="s">
        <v>92</v>
      </c>
      <c r="F32" s="34" t="s">
        <v>93</v>
      </c>
      <c r="G32" s="35" t="s">
        <v>70</v>
      </c>
      <c r="H32" s="34" t="s">
        <v>80</v>
      </c>
      <c r="I32" s="36" t="s">
        <v>255</v>
      </c>
      <c r="J32" s="34" t="s">
        <v>85</v>
      </c>
      <c r="K32" s="34">
        <v>43.856000000000002</v>
      </c>
      <c r="L32" s="37">
        <v>0.3528</v>
      </c>
      <c r="M32" s="38" t="s">
        <v>94</v>
      </c>
      <c r="N32" s="39">
        <v>68218</v>
      </c>
    </row>
    <row r="33" spans="1:14" s="46" customFormat="1" x14ac:dyDescent="0.25">
      <c r="A33" s="40">
        <v>46198</v>
      </c>
      <c r="B33" s="40" t="s">
        <v>76</v>
      </c>
      <c r="C33" s="41" t="s">
        <v>110</v>
      </c>
      <c r="D33" s="41" t="s">
        <v>60</v>
      </c>
      <c r="E33" s="41" t="s">
        <v>111</v>
      </c>
      <c r="F33" s="41" t="s">
        <v>112</v>
      </c>
      <c r="G33" s="42" t="s">
        <v>113</v>
      </c>
      <c r="H33" s="41" t="s">
        <v>80</v>
      </c>
      <c r="I33" s="43" t="s">
        <v>255</v>
      </c>
      <c r="J33" s="41" t="s">
        <v>114</v>
      </c>
      <c r="K33" s="41">
        <v>2892</v>
      </c>
      <c r="L33" s="44">
        <v>12.24</v>
      </c>
      <c r="M33" s="45" t="s">
        <v>94</v>
      </c>
      <c r="N33" s="46">
        <v>68218</v>
      </c>
    </row>
    <row r="34" spans="1:14" s="53" customFormat="1" x14ac:dyDescent="0.25">
      <c r="A34" s="47">
        <v>46198</v>
      </c>
      <c r="B34" s="47" t="s">
        <v>214</v>
      </c>
      <c r="C34" s="48" t="s">
        <v>230</v>
      </c>
      <c r="D34" s="48" t="s">
        <v>60</v>
      </c>
      <c r="E34" s="48" t="s">
        <v>111</v>
      </c>
      <c r="F34" s="48" t="s">
        <v>112</v>
      </c>
      <c r="G34" s="49" t="s">
        <v>231</v>
      </c>
      <c r="H34" s="48" t="s">
        <v>80</v>
      </c>
      <c r="I34" s="50" t="s">
        <v>255</v>
      </c>
      <c r="J34" s="48" t="s">
        <v>114</v>
      </c>
      <c r="K34" s="48">
        <v>2273.4</v>
      </c>
      <c r="L34" s="51">
        <v>9.18</v>
      </c>
      <c r="M34" s="52" t="s">
        <v>94</v>
      </c>
      <c r="N34" s="53">
        <v>68218</v>
      </c>
    </row>
    <row r="35" spans="1:14" s="39" customFormat="1" x14ac:dyDescent="0.25">
      <c r="A35" s="33">
        <v>46198</v>
      </c>
      <c r="B35" s="33" t="s">
        <v>181</v>
      </c>
      <c r="C35" s="34" t="s">
        <v>211</v>
      </c>
      <c r="D35" s="34" t="s">
        <v>218</v>
      </c>
      <c r="E35" s="34" t="s">
        <v>49</v>
      </c>
      <c r="F35" s="34" t="s">
        <v>50</v>
      </c>
      <c r="G35" s="35" t="s">
        <v>212</v>
      </c>
      <c r="H35" s="34" t="s">
        <v>80</v>
      </c>
      <c r="I35" s="36" t="s">
        <v>255</v>
      </c>
      <c r="J35" s="34" t="s">
        <v>114</v>
      </c>
      <c r="K35" s="34">
        <v>2673</v>
      </c>
      <c r="L35" s="37">
        <v>18.673200000000001</v>
      </c>
      <c r="M35" s="38" t="s">
        <v>213</v>
      </c>
      <c r="N35" s="39">
        <v>68219</v>
      </c>
    </row>
    <row r="36" spans="1:14" s="53" customFormat="1" x14ac:dyDescent="0.25">
      <c r="A36" s="47">
        <v>46198</v>
      </c>
      <c r="B36" s="47" t="s">
        <v>214</v>
      </c>
      <c r="C36" s="48" t="s">
        <v>242</v>
      </c>
      <c r="D36" s="48" t="s">
        <v>218</v>
      </c>
      <c r="E36" s="48" t="s">
        <v>49</v>
      </c>
      <c r="F36" s="48" t="s">
        <v>50</v>
      </c>
      <c r="G36" s="49" t="s">
        <v>243</v>
      </c>
      <c r="H36" s="48" t="s">
        <v>80</v>
      </c>
      <c r="I36" s="50" t="s">
        <v>255</v>
      </c>
      <c r="J36" s="48" t="s">
        <v>114</v>
      </c>
      <c r="K36" s="48">
        <v>3295</v>
      </c>
      <c r="L36" s="51">
        <v>14.4</v>
      </c>
      <c r="M36" s="52" t="s">
        <v>213</v>
      </c>
      <c r="N36" s="53">
        <v>68219</v>
      </c>
    </row>
    <row r="37" spans="1:14" s="31" customFormat="1" x14ac:dyDescent="0.25">
      <c r="A37" s="25">
        <v>46198</v>
      </c>
      <c r="B37" s="25" t="s">
        <v>214</v>
      </c>
      <c r="C37" s="26">
        <v>9</v>
      </c>
      <c r="D37" s="26" t="s">
        <v>67</v>
      </c>
      <c r="E37" s="26">
        <v>1477</v>
      </c>
      <c r="F37" s="26" t="s">
        <v>224</v>
      </c>
      <c r="G37" s="27" t="s">
        <v>225</v>
      </c>
      <c r="H37" s="26" t="s">
        <v>80</v>
      </c>
      <c r="I37" s="28" t="s">
        <v>255</v>
      </c>
      <c r="J37" s="26" t="s">
        <v>226</v>
      </c>
      <c r="K37" s="26">
        <v>674</v>
      </c>
      <c r="L37" s="29">
        <v>1.728</v>
      </c>
      <c r="M37" s="30" t="s">
        <v>227</v>
      </c>
      <c r="N37" s="31">
        <v>68220</v>
      </c>
    </row>
    <row r="38" spans="1:14" s="39" customFormat="1" x14ac:dyDescent="0.25">
      <c r="A38" s="33">
        <v>46198</v>
      </c>
      <c r="B38" s="33" t="s">
        <v>214</v>
      </c>
      <c r="C38" s="34">
        <v>16</v>
      </c>
      <c r="D38" s="34" t="s">
        <v>60</v>
      </c>
      <c r="E38" s="34">
        <v>5925</v>
      </c>
      <c r="F38" s="34" t="s">
        <v>232</v>
      </c>
      <c r="G38" s="35" t="s">
        <v>233</v>
      </c>
      <c r="H38" s="34" t="s">
        <v>80</v>
      </c>
      <c r="I38" s="36" t="s">
        <v>255</v>
      </c>
      <c r="J38" s="34" t="s">
        <v>234</v>
      </c>
      <c r="K38" s="34">
        <v>1736.1179999999999</v>
      </c>
      <c r="L38" s="37">
        <v>23.581149999999997</v>
      </c>
      <c r="M38" s="38" t="s">
        <v>144</v>
      </c>
      <c r="N38" s="39">
        <v>68221</v>
      </c>
    </row>
    <row r="39" spans="1:14" s="53" customFormat="1" x14ac:dyDescent="0.25">
      <c r="A39" s="47">
        <v>46198</v>
      </c>
      <c r="B39" s="47" t="s">
        <v>76</v>
      </c>
      <c r="C39" s="48" t="s">
        <v>141</v>
      </c>
      <c r="D39" s="48" t="s">
        <v>60</v>
      </c>
      <c r="E39" s="48" t="s">
        <v>142</v>
      </c>
      <c r="F39" s="48" t="s">
        <v>143</v>
      </c>
      <c r="G39" s="49" t="s">
        <v>271</v>
      </c>
      <c r="H39" s="48" t="s">
        <v>80</v>
      </c>
      <c r="I39" s="50" t="s">
        <v>255</v>
      </c>
      <c r="J39" s="48" t="s">
        <v>85</v>
      </c>
      <c r="K39" s="48">
        <v>1125.98</v>
      </c>
      <c r="L39" s="51">
        <v>7.1049409199999989</v>
      </c>
      <c r="M39" s="52" t="s">
        <v>144</v>
      </c>
      <c r="N39" s="53">
        <v>68221</v>
      </c>
    </row>
    <row r="40" spans="1:14" s="39" customFormat="1" x14ac:dyDescent="0.25">
      <c r="A40" s="33">
        <v>46198</v>
      </c>
      <c r="B40" s="33" t="s">
        <v>76</v>
      </c>
      <c r="C40" s="34">
        <v>19133</v>
      </c>
      <c r="D40" s="34" t="s">
        <v>218</v>
      </c>
      <c r="E40" s="34">
        <v>4377</v>
      </c>
      <c r="F40" s="34" t="s">
        <v>103</v>
      </c>
      <c r="G40" s="35" t="s">
        <v>278</v>
      </c>
      <c r="H40" s="34" t="s">
        <v>80</v>
      </c>
      <c r="I40" s="36" t="s">
        <v>255</v>
      </c>
      <c r="J40" s="34" t="s">
        <v>104</v>
      </c>
      <c r="K40" s="34">
        <v>526.79599999999994</v>
      </c>
      <c r="L40" s="37">
        <v>5.3568000000000007</v>
      </c>
      <c r="M40" s="38" t="s">
        <v>105</v>
      </c>
      <c r="N40" s="39">
        <v>68222</v>
      </c>
    </row>
    <row r="41" spans="1:14" s="46" customFormat="1" x14ac:dyDescent="0.25">
      <c r="A41" s="40">
        <v>46198</v>
      </c>
      <c r="B41" s="40" t="s">
        <v>160</v>
      </c>
      <c r="C41" s="41" t="s">
        <v>167</v>
      </c>
      <c r="D41" s="41" t="s">
        <v>218</v>
      </c>
      <c r="E41" s="41">
        <v>4377</v>
      </c>
      <c r="F41" s="41" t="s">
        <v>103</v>
      </c>
      <c r="G41" t="s">
        <v>279</v>
      </c>
      <c r="H41" s="41" t="s">
        <v>80</v>
      </c>
      <c r="I41" s="43" t="s">
        <v>255</v>
      </c>
      <c r="J41" s="41" t="s">
        <v>104</v>
      </c>
      <c r="K41" s="41">
        <v>3184.5299999999997</v>
      </c>
      <c r="L41" s="44">
        <v>26.147822400000003</v>
      </c>
      <c r="M41" s="45" t="s">
        <v>105</v>
      </c>
      <c r="N41" s="46">
        <v>68222</v>
      </c>
    </row>
    <row r="42" spans="1:14" s="53" customFormat="1" x14ac:dyDescent="0.25">
      <c r="A42" s="47">
        <v>46198</v>
      </c>
      <c r="B42" s="47" t="s">
        <v>214</v>
      </c>
      <c r="C42" s="48" t="s">
        <v>229</v>
      </c>
      <c r="D42" s="48" t="s">
        <v>218</v>
      </c>
      <c r="E42" s="48">
        <v>4377</v>
      </c>
      <c r="F42" s="48" t="s">
        <v>103</v>
      </c>
      <c r="G42" s="49" t="s">
        <v>268</v>
      </c>
      <c r="H42" s="48" t="s">
        <v>80</v>
      </c>
      <c r="I42" s="50" t="s">
        <v>255</v>
      </c>
      <c r="J42" s="48" t="s">
        <v>104</v>
      </c>
      <c r="K42" s="48">
        <v>210.4</v>
      </c>
      <c r="L42" s="51">
        <v>1.6107</v>
      </c>
      <c r="M42" s="52" t="s">
        <v>105</v>
      </c>
      <c r="N42" s="53">
        <v>68222</v>
      </c>
    </row>
    <row r="43" spans="1:14" s="39" customFormat="1" x14ac:dyDescent="0.25">
      <c r="A43" s="33">
        <v>46198</v>
      </c>
      <c r="B43" s="33" t="s">
        <v>76</v>
      </c>
      <c r="C43" s="34" t="s">
        <v>83</v>
      </c>
      <c r="D43" s="34" t="s">
        <v>45</v>
      </c>
      <c r="E43" s="34">
        <v>396</v>
      </c>
      <c r="F43" s="34" t="s">
        <v>84</v>
      </c>
      <c r="G43" t="s">
        <v>280</v>
      </c>
      <c r="H43" s="34" t="s">
        <v>80</v>
      </c>
      <c r="I43" s="36" t="s">
        <v>255</v>
      </c>
      <c r="J43" s="34" t="s">
        <v>85</v>
      </c>
      <c r="K43" s="34">
        <v>1565.19</v>
      </c>
      <c r="L43" s="37">
        <v>10.8673488</v>
      </c>
      <c r="M43" s="38" t="s">
        <v>86</v>
      </c>
      <c r="N43" s="39">
        <v>68223</v>
      </c>
    </row>
    <row r="44" spans="1:14" s="46" customFormat="1" x14ac:dyDescent="0.25">
      <c r="A44" s="40">
        <v>46198</v>
      </c>
      <c r="B44" s="40" t="s">
        <v>181</v>
      </c>
      <c r="C44" s="41" t="s">
        <v>187</v>
      </c>
      <c r="D44" s="41" t="s">
        <v>45</v>
      </c>
      <c r="E44" s="41">
        <v>396</v>
      </c>
      <c r="F44" s="41" t="s">
        <v>84</v>
      </c>
      <c r="G44" t="s">
        <v>281</v>
      </c>
      <c r="H44" s="41" t="s">
        <v>80</v>
      </c>
      <c r="I44" s="43" t="s">
        <v>255</v>
      </c>
      <c r="J44" s="41" t="s">
        <v>85</v>
      </c>
      <c r="K44" s="41">
        <v>2561.2199999999998</v>
      </c>
      <c r="L44" s="44">
        <v>17.782934399999998</v>
      </c>
      <c r="M44" s="45" t="s">
        <v>86</v>
      </c>
      <c r="N44" s="46">
        <v>68223</v>
      </c>
    </row>
    <row r="45" spans="1:14" s="46" customFormat="1" x14ac:dyDescent="0.25">
      <c r="A45" s="40">
        <v>46198</v>
      </c>
      <c r="B45" s="40" t="s">
        <v>214</v>
      </c>
      <c r="C45" s="41" t="s">
        <v>216</v>
      </c>
      <c r="D45" s="41" t="s">
        <v>45</v>
      </c>
      <c r="E45" s="41">
        <v>396</v>
      </c>
      <c r="F45" s="41" t="s">
        <v>84</v>
      </c>
      <c r="G45" t="s">
        <v>282</v>
      </c>
      <c r="H45" s="41" t="s">
        <v>80</v>
      </c>
      <c r="I45" s="43" t="s">
        <v>255</v>
      </c>
      <c r="J45" s="41" t="s">
        <v>85</v>
      </c>
      <c r="K45" s="41">
        <v>3194.16</v>
      </c>
      <c r="L45" s="44">
        <v>23.751763199999999</v>
      </c>
      <c r="M45" s="45" t="s">
        <v>86</v>
      </c>
      <c r="N45" s="46">
        <v>68223</v>
      </c>
    </row>
    <row r="46" spans="1:14" s="53" customFormat="1" x14ac:dyDescent="0.25">
      <c r="A46" s="47">
        <v>46198</v>
      </c>
      <c r="B46" s="47" t="s">
        <v>160</v>
      </c>
      <c r="C46" s="48" t="s">
        <v>169</v>
      </c>
      <c r="D46" s="48" t="s">
        <v>45</v>
      </c>
      <c r="E46" s="48">
        <v>5832</v>
      </c>
      <c r="F46" s="48" t="s">
        <v>170</v>
      </c>
      <c r="G46" s="49" t="s">
        <v>267</v>
      </c>
      <c r="H46" s="48" t="s">
        <v>80</v>
      </c>
      <c r="I46" s="50" t="s">
        <v>255</v>
      </c>
      <c r="J46" s="48" t="s">
        <v>85</v>
      </c>
      <c r="K46" s="48">
        <v>126.32000000000001</v>
      </c>
      <c r="L46" s="51">
        <v>1.1169020799999998</v>
      </c>
      <c r="M46" s="52" t="s">
        <v>86</v>
      </c>
      <c r="N46" s="53">
        <v>68223</v>
      </c>
    </row>
    <row r="47" spans="1:14" s="39" customFormat="1" x14ac:dyDescent="0.25">
      <c r="A47" s="33">
        <v>46198</v>
      </c>
      <c r="B47" s="33" t="s">
        <v>160</v>
      </c>
      <c r="C47" s="34" t="s">
        <v>161</v>
      </c>
      <c r="D47" s="34" t="s">
        <v>218</v>
      </c>
      <c r="E47" s="34">
        <v>946</v>
      </c>
      <c r="F47" s="34" t="s">
        <v>162</v>
      </c>
      <c r="G47" s="35" t="s">
        <v>283</v>
      </c>
      <c r="H47" s="34" t="s">
        <v>80</v>
      </c>
      <c r="I47" s="36" t="s">
        <v>255</v>
      </c>
      <c r="J47" s="34" t="s">
        <v>156</v>
      </c>
      <c r="K47" s="34">
        <v>3782.52</v>
      </c>
      <c r="L47" s="37">
        <v>17.886959999999998</v>
      </c>
      <c r="M47" s="38" t="s">
        <v>163</v>
      </c>
      <c r="N47" s="39">
        <v>68224</v>
      </c>
    </row>
    <row r="48" spans="1:14" s="53" customFormat="1" x14ac:dyDescent="0.25">
      <c r="A48" s="47">
        <v>46198</v>
      </c>
      <c r="B48" s="47" t="s">
        <v>214</v>
      </c>
      <c r="C48" s="48" t="s">
        <v>223</v>
      </c>
      <c r="D48" s="48" t="s">
        <v>218</v>
      </c>
      <c r="E48" s="48">
        <v>946</v>
      </c>
      <c r="F48" s="48" t="s">
        <v>162</v>
      </c>
      <c r="G48" s="49" t="s">
        <v>284</v>
      </c>
      <c r="H48" s="48" t="s">
        <v>80</v>
      </c>
      <c r="I48" s="50" t="s">
        <v>255</v>
      </c>
      <c r="J48" s="48" t="s">
        <v>156</v>
      </c>
      <c r="K48" s="48">
        <v>2257.2000000000003</v>
      </c>
      <c r="L48" s="51">
        <v>9.0283264199999991</v>
      </c>
      <c r="M48" s="52" t="s">
        <v>163</v>
      </c>
      <c r="N48" s="53">
        <v>68224</v>
      </c>
    </row>
    <row r="49" spans="1:14" s="39" customFormat="1" x14ac:dyDescent="0.25">
      <c r="A49" s="33">
        <v>46198</v>
      </c>
      <c r="B49" s="33" t="s">
        <v>76</v>
      </c>
      <c r="C49" s="34" t="s">
        <v>115</v>
      </c>
      <c r="D49" s="34" t="s">
        <v>60</v>
      </c>
      <c r="E49" s="34" t="s">
        <v>116</v>
      </c>
      <c r="F49" s="34" t="s">
        <v>117</v>
      </c>
      <c r="G49" s="35" t="s">
        <v>292</v>
      </c>
      <c r="H49" s="34" t="s">
        <v>80</v>
      </c>
      <c r="I49" s="36" t="s">
        <v>255</v>
      </c>
      <c r="J49" s="34" t="s">
        <v>118</v>
      </c>
      <c r="K49" s="34">
        <v>751.10500000000002</v>
      </c>
      <c r="L49" s="37">
        <v>0.83789999999999976</v>
      </c>
      <c r="M49" s="38" t="s">
        <v>119</v>
      </c>
      <c r="N49" s="39">
        <v>68225</v>
      </c>
    </row>
    <row r="50" spans="1:14" s="46" customFormat="1" x14ac:dyDescent="0.25">
      <c r="A50" s="40">
        <v>46198</v>
      </c>
      <c r="B50" s="40" t="s">
        <v>160</v>
      </c>
      <c r="C50" s="41" t="s">
        <v>168</v>
      </c>
      <c r="D50" s="41" t="s">
        <v>60</v>
      </c>
      <c r="E50" s="41" t="s">
        <v>116</v>
      </c>
      <c r="F50" s="41" t="s">
        <v>117</v>
      </c>
      <c r="G50" s="42" t="s">
        <v>267</v>
      </c>
      <c r="H50" s="41" t="s">
        <v>80</v>
      </c>
      <c r="I50" s="43" t="s">
        <v>255</v>
      </c>
      <c r="J50" s="41" t="s">
        <v>118</v>
      </c>
      <c r="K50" s="41">
        <v>580</v>
      </c>
      <c r="L50" s="44">
        <v>0.7056</v>
      </c>
      <c r="M50" s="45" t="s">
        <v>119</v>
      </c>
      <c r="N50" s="46">
        <v>68225</v>
      </c>
    </row>
    <row r="51" spans="1:14" s="53" customFormat="1" x14ac:dyDescent="0.25">
      <c r="A51" s="47">
        <v>46198</v>
      </c>
      <c r="B51" s="47" t="s">
        <v>181</v>
      </c>
      <c r="C51" s="48" t="s">
        <v>193</v>
      </c>
      <c r="D51" s="48" t="s">
        <v>60</v>
      </c>
      <c r="E51" s="48" t="s">
        <v>116</v>
      </c>
      <c r="F51" s="48" t="s">
        <v>117</v>
      </c>
      <c r="G51" s="49" t="s">
        <v>267</v>
      </c>
      <c r="H51" s="48" t="s">
        <v>80</v>
      </c>
      <c r="I51" s="50" t="s">
        <v>255</v>
      </c>
      <c r="J51" s="48" t="s">
        <v>118</v>
      </c>
      <c r="K51" s="48">
        <v>177.25</v>
      </c>
      <c r="L51" s="51">
        <v>0.20286000000000001</v>
      </c>
      <c r="M51" s="52" t="s">
        <v>119</v>
      </c>
      <c r="N51" s="53">
        <v>68225</v>
      </c>
    </row>
    <row r="52" spans="1:14" s="39" customFormat="1" x14ac:dyDescent="0.25">
      <c r="A52" s="33">
        <v>46198</v>
      </c>
      <c r="B52" s="33" t="s">
        <v>76</v>
      </c>
      <c r="C52" s="34" t="s">
        <v>99</v>
      </c>
      <c r="D52" s="34" t="s">
        <v>45</v>
      </c>
      <c r="E52" s="34">
        <v>3940</v>
      </c>
      <c r="F52" s="34" t="s">
        <v>100</v>
      </c>
      <c r="G52" s="35" t="s">
        <v>273</v>
      </c>
      <c r="H52" s="34" t="s">
        <v>80</v>
      </c>
      <c r="I52" s="36" t="s">
        <v>255</v>
      </c>
      <c r="J52" s="34" t="s">
        <v>101</v>
      </c>
      <c r="K52" s="34">
        <v>2343.12</v>
      </c>
      <c r="L52" s="37">
        <v>5.76</v>
      </c>
      <c r="M52" s="38" t="s">
        <v>102</v>
      </c>
      <c r="N52" s="39">
        <v>68226</v>
      </c>
    </row>
    <row r="53" spans="1:14" s="46" customFormat="1" x14ac:dyDescent="0.25">
      <c r="A53" s="40">
        <v>46198</v>
      </c>
      <c r="B53" s="40" t="s">
        <v>181</v>
      </c>
      <c r="C53" s="41" t="s">
        <v>192</v>
      </c>
      <c r="D53" s="41" t="s">
        <v>45</v>
      </c>
      <c r="E53" s="41">
        <v>3940</v>
      </c>
      <c r="F53" s="41" t="s">
        <v>100</v>
      </c>
      <c r="G53" s="42" t="s">
        <v>285</v>
      </c>
      <c r="H53" s="41" t="s">
        <v>80</v>
      </c>
      <c r="I53" s="43" t="s">
        <v>255</v>
      </c>
      <c r="J53" s="41" t="s">
        <v>101</v>
      </c>
      <c r="K53" s="41">
        <v>5118</v>
      </c>
      <c r="L53" s="44">
        <v>20.496000000000002</v>
      </c>
      <c r="M53" s="45" t="s">
        <v>102</v>
      </c>
      <c r="N53" s="46">
        <v>68226</v>
      </c>
    </row>
    <row r="54" spans="1:14" s="53" customFormat="1" x14ac:dyDescent="0.25">
      <c r="A54" s="47">
        <v>46198</v>
      </c>
      <c r="B54" s="47" t="s">
        <v>214</v>
      </c>
      <c r="C54" s="48" t="s">
        <v>228</v>
      </c>
      <c r="D54" s="48" t="s">
        <v>45</v>
      </c>
      <c r="E54" s="48">
        <v>3940</v>
      </c>
      <c r="F54" s="48" t="s">
        <v>100</v>
      </c>
      <c r="G54" s="49" t="s">
        <v>286</v>
      </c>
      <c r="H54" s="48" t="s">
        <v>80</v>
      </c>
      <c r="I54" s="50" t="s">
        <v>255</v>
      </c>
      <c r="J54" s="48" t="s">
        <v>101</v>
      </c>
      <c r="K54" s="48">
        <v>1729.02</v>
      </c>
      <c r="L54" s="51">
        <v>5.8967999999999998</v>
      </c>
      <c r="M54" s="52" t="s">
        <v>102</v>
      </c>
      <c r="N54" s="53">
        <v>68226</v>
      </c>
    </row>
    <row r="55" spans="1:14" s="39" customFormat="1" x14ac:dyDescent="0.25">
      <c r="A55" s="33">
        <v>46198</v>
      </c>
      <c r="B55" s="33" t="s">
        <v>76</v>
      </c>
      <c r="C55" s="34" t="s">
        <v>153</v>
      </c>
      <c r="D55" s="34" t="s">
        <v>45</v>
      </c>
      <c r="E55" s="34" t="s">
        <v>154</v>
      </c>
      <c r="F55" s="34" t="s">
        <v>155</v>
      </c>
      <c r="G55" s="35" t="s">
        <v>287</v>
      </c>
      <c r="H55" s="34" t="s">
        <v>80</v>
      </c>
      <c r="I55" s="36" t="s">
        <v>255</v>
      </c>
      <c r="J55" s="34" t="s">
        <v>156</v>
      </c>
      <c r="K55" s="34">
        <v>3746.67</v>
      </c>
      <c r="L55" s="37">
        <v>26.350627200000002</v>
      </c>
      <c r="M55" s="38" t="s">
        <v>157</v>
      </c>
      <c r="N55" s="39">
        <v>68227</v>
      </c>
    </row>
    <row r="56" spans="1:14" s="46" customFormat="1" x14ac:dyDescent="0.25">
      <c r="A56" s="40">
        <v>46198</v>
      </c>
      <c r="B56" s="40" t="s">
        <v>181</v>
      </c>
      <c r="C56" s="41" t="s">
        <v>210</v>
      </c>
      <c r="D56" s="41" t="s">
        <v>45</v>
      </c>
      <c r="E56" s="41" t="s">
        <v>154</v>
      </c>
      <c r="F56" s="41" t="s">
        <v>155</v>
      </c>
      <c r="G56" s="42" t="s">
        <v>288</v>
      </c>
      <c r="H56" s="41" t="s">
        <v>80</v>
      </c>
      <c r="I56" s="43" t="s">
        <v>255</v>
      </c>
      <c r="J56" s="41" t="s">
        <v>156</v>
      </c>
      <c r="K56" s="41">
        <v>2776.85</v>
      </c>
      <c r="L56" s="44">
        <v>17.311199999999996</v>
      </c>
      <c r="M56" s="45" t="s">
        <v>157</v>
      </c>
      <c r="N56" s="46">
        <v>68227</v>
      </c>
    </row>
    <row r="57" spans="1:14" s="53" customFormat="1" x14ac:dyDescent="0.25">
      <c r="A57" s="47">
        <v>46198</v>
      </c>
      <c r="B57" s="47" t="s">
        <v>214</v>
      </c>
      <c r="C57" s="48" t="s">
        <v>240</v>
      </c>
      <c r="D57" s="48" t="s">
        <v>45</v>
      </c>
      <c r="E57" s="48" t="s">
        <v>154</v>
      </c>
      <c r="F57" s="48" t="s">
        <v>155</v>
      </c>
      <c r="G57" s="49" t="s">
        <v>289</v>
      </c>
      <c r="H57" s="48" t="s">
        <v>80</v>
      </c>
      <c r="I57" s="50" t="s">
        <v>255</v>
      </c>
      <c r="J57" s="48" t="s">
        <v>156</v>
      </c>
      <c r="K57" s="48">
        <v>2648.9629999999997</v>
      </c>
      <c r="L57" s="51">
        <v>15.795427199999997</v>
      </c>
      <c r="M57" s="52" t="s">
        <v>157</v>
      </c>
      <c r="N57" s="53">
        <v>68227</v>
      </c>
    </row>
    <row r="58" spans="1:14" s="39" customFormat="1" x14ac:dyDescent="0.25">
      <c r="A58" s="33">
        <v>46198</v>
      </c>
      <c r="B58" s="33" t="s">
        <v>76</v>
      </c>
      <c r="C58" s="34" t="s">
        <v>77</v>
      </c>
      <c r="D58" s="34" t="s">
        <v>36</v>
      </c>
      <c r="E58" s="34">
        <v>9</v>
      </c>
      <c r="F58" s="34" t="s">
        <v>78</v>
      </c>
      <c r="G58" s="35" t="s">
        <v>79</v>
      </c>
      <c r="H58" s="34" t="s">
        <v>80</v>
      </c>
      <c r="I58" s="36" t="s">
        <v>255</v>
      </c>
      <c r="J58" s="34" t="s">
        <v>81</v>
      </c>
      <c r="K58" s="34">
        <v>453</v>
      </c>
      <c r="L58" s="37">
        <v>3.06</v>
      </c>
      <c r="M58" s="38" t="s">
        <v>82</v>
      </c>
      <c r="N58" s="39">
        <v>68228</v>
      </c>
    </row>
    <row r="59" spans="1:14" s="53" customFormat="1" x14ac:dyDescent="0.25">
      <c r="A59" s="47">
        <v>46198</v>
      </c>
      <c r="B59" s="47" t="s">
        <v>181</v>
      </c>
      <c r="C59" s="48" t="s">
        <v>182</v>
      </c>
      <c r="D59" s="48" t="s">
        <v>36</v>
      </c>
      <c r="E59" s="48">
        <v>9</v>
      </c>
      <c r="F59" s="48" t="s">
        <v>78</v>
      </c>
      <c r="G59" s="49" t="s">
        <v>183</v>
      </c>
      <c r="H59" s="48" t="s">
        <v>80</v>
      </c>
      <c r="I59" s="50" t="s">
        <v>255</v>
      </c>
      <c r="J59" s="48" t="s">
        <v>81</v>
      </c>
      <c r="K59" s="48">
        <v>150.04</v>
      </c>
      <c r="L59" s="51">
        <v>1.02</v>
      </c>
      <c r="M59" s="52" t="s">
        <v>82</v>
      </c>
      <c r="N59" s="53">
        <v>68228</v>
      </c>
    </row>
    <row r="60" spans="1:14" s="39" customFormat="1" x14ac:dyDescent="0.25">
      <c r="A60" s="33">
        <v>46198</v>
      </c>
      <c r="B60" s="33" t="s">
        <v>76</v>
      </c>
      <c r="C60" s="34" t="s">
        <v>130</v>
      </c>
      <c r="D60" s="34" t="s">
        <v>45</v>
      </c>
      <c r="E60" s="34" t="s">
        <v>131</v>
      </c>
      <c r="F60" s="34" t="s">
        <v>132</v>
      </c>
      <c r="G60" s="35" t="s">
        <v>291</v>
      </c>
      <c r="H60" s="34" t="s">
        <v>80</v>
      </c>
      <c r="I60" s="36" t="s">
        <v>255</v>
      </c>
      <c r="J60" s="34" t="s">
        <v>101</v>
      </c>
      <c r="K60" s="34">
        <v>5612.61</v>
      </c>
      <c r="L60" s="37">
        <v>15.7984416</v>
      </c>
      <c r="M60" s="38" t="s">
        <v>133</v>
      </c>
      <c r="N60" s="39">
        <v>68229</v>
      </c>
    </row>
    <row r="61" spans="1:14" s="46" customFormat="1" x14ac:dyDescent="0.25">
      <c r="A61" s="40">
        <v>46198</v>
      </c>
      <c r="B61" s="40" t="s">
        <v>181</v>
      </c>
      <c r="C61" s="41" t="s">
        <v>203</v>
      </c>
      <c r="D61" s="41" t="s">
        <v>45</v>
      </c>
      <c r="E61" s="41" t="s">
        <v>131</v>
      </c>
      <c r="F61" s="41" t="s">
        <v>132</v>
      </c>
      <c r="G61" s="42" t="s">
        <v>292</v>
      </c>
      <c r="H61" s="41" t="s">
        <v>80</v>
      </c>
      <c r="I61" s="43" t="s">
        <v>255</v>
      </c>
      <c r="J61" s="41" t="s">
        <v>101</v>
      </c>
      <c r="K61" s="41">
        <v>1051.672</v>
      </c>
      <c r="L61" s="44">
        <v>5.5079039999999999</v>
      </c>
      <c r="M61" s="45" t="s">
        <v>133</v>
      </c>
      <c r="N61" s="46">
        <v>68229</v>
      </c>
    </row>
    <row r="62" spans="1:14" s="53" customFormat="1" x14ac:dyDescent="0.25">
      <c r="A62" s="47">
        <v>46198</v>
      </c>
      <c r="B62" s="47" t="s">
        <v>214</v>
      </c>
      <c r="C62" s="48" t="s">
        <v>236</v>
      </c>
      <c r="D62" s="48" t="s">
        <v>45</v>
      </c>
      <c r="E62" s="48" t="s">
        <v>131</v>
      </c>
      <c r="F62" s="48" t="s">
        <v>132</v>
      </c>
      <c r="G62" s="49" t="s">
        <v>292</v>
      </c>
      <c r="H62" s="48" t="s">
        <v>80</v>
      </c>
      <c r="I62" s="50" t="s">
        <v>255</v>
      </c>
      <c r="J62" s="48" t="s">
        <v>101</v>
      </c>
      <c r="K62" s="48">
        <v>1290.0609999999999</v>
      </c>
      <c r="L62" s="51">
        <v>6.5369999999999999</v>
      </c>
      <c r="M62" s="52" t="s">
        <v>133</v>
      </c>
      <c r="N62" s="53">
        <v>68229</v>
      </c>
    </row>
    <row r="63" spans="1:14" s="39" customFormat="1" x14ac:dyDescent="0.25">
      <c r="A63" s="33">
        <v>46198</v>
      </c>
      <c r="B63" s="33" t="s">
        <v>160</v>
      </c>
      <c r="C63" s="34" t="s">
        <v>259</v>
      </c>
      <c r="D63" s="34" t="s">
        <v>60</v>
      </c>
      <c r="E63" s="34" t="s">
        <v>171</v>
      </c>
      <c r="F63" s="34" t="s">
        <v>172</v>
      </c>
      <c r="G63" s="35" t="s">
        <v>267</v>
      </c>
      <c r="H63" s="34" t="s">
        <v>80</v>
      </c>
      <c r="I63" s="36" t="s">
        <v>255</v>
      </c>
      <c r="J63" s="34" t="s">
        <v>156</v>
      </c>
      <c r="K63" s="34">
        <v>460</v>
      </c>
      <c r="L63" s="37">
        <v>1.4976</v>
      </c>
      <c r="M63" s="38" t="s">
        <v>109</v>
      </c>
      <c r="N63" s="39">
        <v>68230</v>
      </c>
    </row>
    <row r="64" spans="1:14" s="46" customFormat="1" x14ac:dyDescent="0.25">
      <c r="A64" s="40">
        <v>46198</v>
      </c>
      <c r="B64" s="40" t="s">
        <v>76</v>
      </c>
      <c r="C64" s="41" t="s">
        <v>260</v>
      </c>
      <c r="D64" s="41" t="s">
        <v>60</v>
      </c>
      <c r="E64" s="41" t="s">
        <v>106</v>
      </c>
      <c r="F64" s="41" t="s">
        <v>107</v>
      </c>
      <c r="G64" s="42" t="s">
        <v>290</v>
      </c>
      <c r="H64" s="41" t="s">
        <v>80</v>
      </c>
      <c r="I64" s="43" t="s">
        <v>255</v>
      </c>
      <c r="J64" s="41" t="s">
        <v>108</v>
      </c>
      <c r="K64" s="41">
        <v>2042.84</v>
      </c>
      <c r="L64" s="44">
        <v>6.1199999999999992</v>
      </c>
      <c r="M64" s="45" t="s">
        <v>109</v>
      </c>
      <c r="N64" s="46">
        <v>68230</v>
      </c>
    </row>
    <row r="65" spans="1:40" s="53" customFormat="1" x14ac:dyDescent="0.25">
      <c r="A65" s="47">
        <v>46198</v>
      </c>
      <c r="B65" s="47" t="s">
        <v>160</v>
      </c>
      <c r="C65" s="48" t="s">
        <v>258</v>
      </c>
      <c r="D65" s="48" t="s">
        <v>60</v>
      </c>
      <c r="E65" s="48" t="s">
        <v>178</v>
      </c>
      <c r="F65" s="48" t="s">
        <v>179</v>
      </c>
      <c r="G65" s="49" t="s">
        <v>268</v>
      </c>
      <c r="H65" s="48" t="s">
        <v>80</v>
      </c>
      <c r="I65" s="50" t="s">
        <v>255</v>
      </c>
      <c r="J65" s="48" t="s">
        <v>180</v>
      </c>
      <c r="K65" s="48">
        <v>585.19999999999993</v>
      </c>
      <c r="L65" s="51">
        <v>0.95255999999999996</v>
      </c>
      <c r="M65" s="52" t="s">
        <v>109</v>
      </c>
      <c r="N65" s="53">
        <v>68230</v>
      </c>
    </row>
    <row r="66" spans="1:40" s="31" customFormat="1" x14ac:dyDescent="0.25">
      <c r="A66" s="54">
        <v>46198</v>
      </c>
      <c r="B66" s="55" t="s">
        <v>35</v>
      </c>
      <c r="C66" s="55" t="s">
        <v>44</v>
      </c>
      <c r="D66" s="55" t="s">
        <v>45</v>
      </c>
      <c r="E66" s="55">
        <v>3940</v>
      </c>
      <c r="F66" s="55" t="s">
        <v>46</v>
      </c>
      <c r="G66" s="56" t="s">
        <v>47</v>
      </c>
      <c r="H66" s="55" t="s">
        <v>40</v>
      </c>
      <c r="I66" s="55" t="s">
        <v>48</v>
      </c>
      <c r="J66" s="57">
        <v>46198.541666666664</v>
      </c>
      <c r="K66" s="55">
        <v>8214.91</v>
      </c>
      <c r="L66" s="55">
        <v>37</v>
      </c>
      <c r="M66" s="55" t="s">
        <v>43</v>
      </c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58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</row>
    <row r="67" spans="1:40" s="31" customFormat="1" x14ac:dyDescent="0.25">
      <c r="A67" s="54">
        <v>46198</v>
      </c>
      <c r="B67" s="55" t="s">
        <v>35</v>
      </c>
      <c r="C67" s="55">
        <v>4</v>
      </c>
      <c r="D67" s="55" t="s">
        <v>36</v>
      </c>
      <c r="E67" s="55" t="s">
        <v>37</v>
      </c>
      <c r="F67" s="55" t="s">
        <v>38</v>
      </c>
      <c r="G67" s="56" t="s">
        <v>39</v>
      </c>
      <c r="H67" s="55" t="s">
        <v>40</v>
      </c>
      <c r="I67" s="55" t="s">
        <v>41</v>
      </c>
      <c r="J67" s="57">
        <v>46198.666666666664</v>
      </c>
      <c r="K67" s="55">
        <v>552</v>
      </c>
      <c r="L67" s="55" t="s">
        <v>42</v>
      </c>
      <c r="M67" s="55" t="s">
        <v>43</v>
      </c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58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</row>
    <row r="68" spans="1:40" s="31" customFormat="1" x14ac:dyDescent="0.25">
      <c r="A68" s="54">
        <v>46198</v>
      </c>
      <c r="B68" s="55" t="s">
        <v>35</v>
      </c>
      <c r="C68" s="55">
        <v>1</v>
      </c>
      <c r="D68" s="55" t="s">
        <v>45</v>
      </c>
      <c r="E68" s="55" t="s">
        <v>49</v>
      </c>
      <c r="F68" s="55" t="s">
        <v>50</v>
      </c>
      <c r="G68" s="56" t="s">
        <v>51</v>
      </c>
      <c r="H68" s="55" t="s">
        <v>40</v>
      </c>
      <c r="I68" s="55" t="s">
        <v>52</v>
      </c>
      <c r="J68" s="57">
        <v>46198.291666666664</v>
      </c>
      <c r="K68" s="55">
        <v>7770.5</v>
      </c>
      <c r="L68" s="55" t="s">
        <v>42</v>
      </c>
      <c r="M68" s="55" t="s">
        <v>53</v>
      </c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58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</row>
    <row r="69" spans="1:40" s="31" customFormat="1" x14ac:dyDescent="0.25">
      <c r="A69" s="54">
        <v>46198</v>
      </c>
      <c r="B69" s="55" t="s">
        <v>35</v>
      </c>
      <c r="C69" s="55" t="s">
        <v>54</v>
      </c>
      <c r="D69" s="55" t="s">
        <v>45</v>
      </c>
      <c r="E69" s="55" t="s">
        <v>55</v>
      </c>
      <c r="F69" s="55" t="s">
        <v>56</v>
      </c>
      <c r="G69" s="56" t="s">
        <v>57</v>
      </c>
      <c r="H69" s="55" t="s">
        <v>40</v>
      </c>
      <c r="I69" s="55" t="s">
        <v>58</v>
      </c>
      <c r="J69" s="57">
        <v>46198.375</v>
      </c>
      <c r="K69" s="55">
        <v>2311.1999999999998</v>
      </c>
      <c r="L69" s="55" t="s">
        <v>42</v>
      </c>
      <c r="M69" s="55" t="s">
        <v>59</v>
      </c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58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</row>
    <row r="70" spans="1:40" s="31" customFormat="1" x14ac:dyDescent="0.25">
      <c r="A70" s="54">
        <v>46198</v>
      </c>
      <c r="B70" s="55" t="s">
        <v>35</v>
      </c>
      <c r="C70" s="55">
        <v>6</v>
      </c>
      <c r="D70" s="55" t="s">
        <v>60</v>
      </c>
      <c r="E70" s="55" t="s">
        <v>61</v>
      </c>
      <c r="F70" s="55" t="s">
        <v>62</v>
      </c>
      <c r="G70" s="56" t="s">
        <v>63</v>
      </c>
      <c r="H70" s="55" t="s">
        <v>40</v>
      </c>
      <c r="I70" s="55" t="s">
        <v>64</v>
      </c>
      <c r="J70" s="57">
        <v>46198.541666666664</v>
      </c>
      <c r="K70" s="55">
        <v>4997.0959999999995</v>
      </c>
      <c r="L70" s="55" t="s">
        <v>42</v>
      </c>
      <c r="M70" s="55" t="s">
        <v>65</v>
      </c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58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</row>
    <row r="71" spans="1:40" s="31" customFormat="1" x14ac:dyDescent="0.25">
      <c r="A71" s="54">
        <v>46198</v>
      </c>
      <c r="B71" s="55" t="s">
        <v>66</v>
      </c>
      <c r="C71" s="55">
        <v>47</v>
      </c>
      <c r="D71" s="55" t="s">
        <v>67</v>
      </c>
      <c r="E71" s="55" t="s">
        <v>68</v>
      </c>
      <c r="F71" s="55" t="s">
        <v>69</v>
      </c>
      <c r="G71" s="56" t="s">
        <v>70</v>
      </c>
      <c r="H71" s="55" t="s">
        <v>40</v>
      </c>
      <c r="I71" s="55" t="s">
        <v>71</v>
      </c>
      <c r="J71" s="57">
        <v>46198.375</v>
      </c>
      <c r="K71" s="55">
        <v>81</v>
      </c>
      <c r="L71" s="55" t="s">
        <v>42</v>
      </c>
      <c r="M71" s="55" t="s">
        <v>72</v>
      </c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58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</row>
    <row r="72" spans="1:40" s="31" customFormat="1" x14ac:dyDescent="0.25">
      <c r="A72" s="54">
        <v>46198</v>
      </c>
      <c r="B72" s="55" t="s">
        <v>66</v>
      </c>
      <c r="C72" s="55">
        <v>35</v>
      </c>
      <c r="D72" s="55" t="s">
        <v>73</v>
      </c>
      <c r="E72" s="55">
        <v>2401</v>
      </c>
      <c r="F72" s="55" t="s">
        <v>74</v>
      </c>
      <c r="G72" s="56" t="s">
        <v>70</v>
      </c>
      <c r="H72" s="55" t="s">
        <v>40</v>
      </c>
      <c r="I72" s="55" t="s">
        <v>75</v>
      </c>
      <c r="J72" s="57">
        <v>46198.625</v>
      </c>
      <c r="K72" s="55">
        <v>17.57</v>
      </c>
      <c r="L72" s="55">
        <v>1</v>
      </c>
      <c r="M72" s="55" t="s">
        <v>72</v>
      </c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58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</row>
    <row r="73" spans="1:40" s="31" customFormat="1" x14ac:dyDescent="0.25">
      <c r="A73" s="25">
        <v>46198</v>
      </c>
      <c r="B73" s="30" t="s">
        <v>214</v>
      </c>
      <c r="C73" s="30" t="s">
        <v>265</v>
      </c>
      <c r="D73" s="30" t="s">
        <v>218</v>
      </c>
      <c r="E73" s="30" t="s">
        <v>261</v>
      </c>
      <c r="F73" s="30" t="s">
        <v>264</v>
      </c>
      <c r="G73" s="59" t="s">
        <v>262</v>
      </c>
      <c r="H73" s="30" t="s">
        <v>40</v>
      </c>
      <c r="I73" s="28" t="s">
        <v>255</v>
      </c>
      <c r="J73" s="30" t="s">
        <v>226</v>
      </c>
      <c r="K73" s="30">
        <v>9553.898000000001</v>
      </c>
      <c r="L73" s="30">
        <v>47.564</v>
      </c>
      <c r="M73" s="30" t="s">
        <v>263</v>
      </c>
    </row>
    <row r="74" spans="1:40" s="31" customFormat="1" x14ac:dyDescent="0.25">
      <c r="A74" s="25">
        <v>46198</v>
      </c>
      <c r="B74" s="25" t="s">
        <v>214</v>
      </c>
      <c r="C74" s="26" t="s">
        <v>217</v>
      </c>
      <c r="D74" s="26" t="s">
        <v>218</v>
      </c>
      <c r="E74" s="26">
        <v>908</v>
      </c>
      <c r="F74" s="26" t="s">
        <v>219</v>
      </c>
      <c r="G74" s="27" t="s">
        <v>220</v>
      </c>
      <c r="H74" s="26" t="s">
        <v>250</v>
      </c>
      <c r="I74" s="28" t="s">
        <v>255</v>
      </c>
      <c r="J74" s="26" t="s">
        <v>221</v>
      </c>
      <c r="K74" s="26">
        <v>746.32</v>
      </c>
      <c r="L74" s="29">
        <v>8.1023999999999994</v>
      </c>
      <c r="M74" s="30" t="s">
        <v>222</v>
      </c>
    </row>
    <row r="75" spans="1:40" s="32" customFormat="1" x14ac:dyDescent="0.25">
      <c r="A75" s="25">
        <v>46198</v>
      </c>
      <c r="B75" s="25" t="s">
        <v>214</v>
      </c>
      <c r="C75" s="26" t="s">
        <v>252</v>
      </c>
      <c r="D75" s="26" t="s">
        <v>36</v>
      </c>
      <c r="E75" s="26" t="s">
        <v>206</v>
      </c>
      <c r="F75" s="26" t="s">
        <v>207</v>
      </c>
      <c r="G75" s="27" t="s">
        <v>249</v>
      </c>
      <c r="H75" s="26" t="s">
        <v>250</v>
      </c>
      <c r="I75" s="28">
        <v>262650048</v>
      </c>
      <c r="J75" s="60">
        <v>46198.625</v>
      </c>
      <c r="K75" s="26" t="s">
        <v>42</v>
      </c>
      <c r="L75" s="29" t="s">
        <v>42</v>
      </c>
      <c r="M75" s="30" t="s">
        <v>42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 s="32" customFormat="1" x14ac:dyDescent="0.25">
      <c r="A76" s="25">
        <v>46198</v>
      </c>
      <c r="B76" s="25" t="s">
        <v>214</v>
      </c>
      <c r="C76" s="26" t="s">
        <v>253</v>
      </c>
      <c r="D76" s="26" t="s">
        <v>60</v>
      </c>
      <c r="E76" s="26" t="s">
        <v>247</v>
      </c>
      <c r="F76" s="26" t="s">
        <v>248</v>
      </c>
      <c r="G76" s="27" t="s">
        <v>254</v>
      </c>
      <c r="H76" s="26" t="s">
        <v>250</v>
      </c>
      <c r="I76" s="28">
        <v>262650052</v>
      </c>
      <c r="J76" s="60">
        <v>46198.625</v>
      </c>
      <c r="K76" s="26" t="s">
        <v>42</v>
      </c>
      <c r="L76" s="29" t="s">
        <v>42</v>
      </c>
      <c r="M76" s="30" t="s">
        <v>42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 s="32" customFormat="1" x14ac:dyDescent="0.25">
      <c r="A77" s="25">
        <v>46198</v>
      </c>
      <c r="B77" s="25" t="s">
        <v>214</v>
      </c>
      <c r="C77" s="26" t="s">
        <v>293</v>
      </c>
      <c r="D77" s="26" t="s">
        <v>218</v>
      </c>
      <c r="E77" s="26" t="s">
        <v>245</v>
      </c>
      <c r="F77" s="26" t="s">
        <v>246</v>
      </c>
      <c r="G77" s="27" t="s">
        <v>249</v>
      </c>
      <c r="H77" s="26" t="s">
        <v>40</v>
      </c>
      <c r="I77" s="28">
        <v>262650041</v>
      </c>
      <c r="J77" s="60">
        <v>46198.416666666664</v>
      </c>
      <c r="K77" s="26" t="s">
        <v>42</v>
      </c>
      <c r="L77" s="29" t="s">
        <v>42</v>
      </c>
      <c r="M77" s="30" t="s">
        <v>42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 s="32" customFormat="1" x14ac:dyDescent="0.25">
      <c r="A78" s="25">
        <v>46198</v>
      </c>
      <c r="B78" s="25" t="s">
        <v>214</v>
      </c>
      <c r="C78" s="26" t="s">
        <v>251</v>
      </c>
      <c r="D78" s="26" t="s">
        <v>218</v>
      </c>
      <c r="E78" s="26">
        <v>3550</v>
      </c>
      <c r="F78" s="26" t="s">
        <v>244</v>
      </c>
      <c r="G78" s="27" t="s">
        <v>249</v>
      </c>
      <c r="H78" s="26" t="s">
        <v>40</v>
      </c>
      <c r="I78" s="28">
        <v>262650037</v>
      </c>
      <c r="J78" s="60">
        <v>46198.583333333336</v>
      </c>
      <c r="K78" s="26" t="s">
        <v>42</v>
      </c>
      <c r="L78" s="29" t="s">
        <v>42</v>
      </c>
      <c r="M78" s="30" t="s">
        <v>42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</sheetData>
  <autoFilter ref="A1:AN78" xr:uid="{32DFB46B-70DC-4720-989A-89AF80DC0760}"/>
  <sortState xmlns:xlrd2="http://schemas.microsoft.com/office/spreadsheetml/2017/richdata2" ref="A2:AN74">
    <sortCondition ref="M2:M74"/>
    <sortCondition ref="J2:J74"/>
    <sortCondition ref="F2:F74"/>
  </sortState>
  <conditionalFormatting sqref="K5:K73">
    <cfRule type="cellIs" dxfId="0" priority="1" operator="greaterThan">
      <formula>18000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Planejamento</dc:creator>
  <cp:lastModifiedBy>Planejamento</cp:lastModifiedBy>
  <dcterms:created xsi:type="dcterms:W3CDTF">2026-06-24T21:13:38Z</dcterms:created>
  <dcterms:modified xsi:type="dcterms:W3CDTF">2026-06-25T17:15:14Z</dcterms:modified>
</cp:coreProperties>
</file>